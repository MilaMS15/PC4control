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os" sheetId="1" state="visible" r:id="rId3"/>
    <sheet name="Grafica Capacidad" sheetId="2" state="visible" r:id="rId4"/>
    <sheet name="Grafica Indi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<sst xmlns="http://schemas.openxmlformats.org/spreadsheetml/2006/main" count="80" uniqueCount="70">
  <si>
    <t xml:space="preserve">PROBLEMA 3: Tiempo aprobacion prestamos - Capacidad con Indice Taguchi</t>
  </si>
  <si>
    <t xml:space="preserve">Indices de Capacidad: Cp, Cpi (Cpl), Cps (Cpu), Cpk y Cpm (Taguchi)</t>
  </si>
  <si>
    <t xml:space="preserve">DATOS DE ENTRADA</t>
  </si>
  <si>
    <t xml:space="preserve">Media (X̄)</t>
  </si>
  <si>
    <t xml:space="preserve">horas</t>
  </si>
  <si>
    <t xml:space="preserve">Desv. Estandar (σ)</t>
  </si>
  <si>
    <t xml:space="preserve">n (muestras)</t>
  </si>
  <si>
    <t xml:space="preserve">Target (T = N)</t>
  </si>
  <si>
    <t xml:space="preserve">LSL (EI)</t>
  </si>
  <si>
    <t xml:space="preserve">USL (ES)</t>
  </si>
  <si>
    <t xml:space="preserve">1. INDICES DE CAPACIDAD (con formulas Excel)</t>
  </si>
  <si>
    <t xml:space="preserve">Indice</t>
  </si>
  <si>
    <t xml:space="preserve">Formula</t>
  </si>
  <si>
    <t xml:space="preserve">Formula Excel</t>
  </si>
  <si>
    <t xml:space="preserve">Valor</t>
  </si>
  <si>
    <t xml:space="preserve">Criterio</t>
  </si>
  <si>
    <t xml:space="preserve">Cp</t>
  </si>
  <si>
    <t xml:space="preserve">(ES - EI) / (6σ)</t>
  </si>
  <si>
    <t xml:space="preserve">Cpi (Cpl)</t>
  </si>
  <si>
    <t xml:space="preserve">(X̄ - EI) / (3σ)</t>
  </si>
  <si>
    <t xml:space="preserve">Cps (Cpu)</t>
  </si>
  <si>
    <t xml:space="preserve">(ES - X̄) / (3σ)</t>
  </si>
  <si>
    <t xml:space="preserve">Cpk</t>
  </si>
  <si>
    <t xml:space="preserve">MIN(Cpi, Cps)</t>
  </si>
  <si>
    <t xml:space="preserve">2. INDICE DE TAGUCHI Cpm (respecto al Target = 24 h)</t>
  </si>
  <si>
    <t xml:space="preserve">τ (tau)</t>
  </si>
  <si>
    <t xml:space="preserve">√(σ² + (X̄ - T)²)</t>
  </si>
  <si>
    <t xml:space="preserve">Cpm (Taguchi)</t>
  </si>
  <si>
    <t xml:space="preserve">(ES - EI) / (6τ)</t>
  </si>
  <si>
    <t xml:space="preserve">Desglose Cpm:</t>
  </si>
  <si>
    <t xml:space="preserve">  σ² =</t>
  </si>
  <si>
    <t xml:space="preserve">  (X̄ - T)² =</t>
  </si>
  <si>
    <t xml:space="preserve">  σ² + (X̄-T)² =</t>
  </si>
  <si>
    <t xml:space="preserve">  τ = √(...) =</t>
  </si>
  <si>
    <t xml:space="preserve">  6τ =</t>
  </si>
  <si>
    <t xml:space="preserve">  Cpm = 36 / 6τ =</t>
  </si>
  <si>
    <t xml:space="preserve">CRITERIO DE ACEPTACION</t>
  </si>
  <si>
    <t xml:space="preserve">Indice &gt;= 1.33</t>
  </si>
  <si>
    <t xml:space="preserve">APTO</t>
  </si>
  <si>
    <t xml:space="preserve">1.00 &lt;= Indice &lt; 1.33</t>
  </si>
  <si>
    <t xml:space="preserve">MARGINAL</t>
  </si>
  <si>
    <t xml:space="preserve">Indice &lt; 1.00</t>
  </si>
  <si>
    <t xml:space="preserve">NO APTO</t>
  </si>
  <si>
    <t xml:space="preserve">3. INTERPRETACION Y RECOMENDACIONES</t>
  </si>
  <si>
    <t xml:space="preserve">RESULTADO: TODOS los indices &lt; 1.33 → PROCESO NO APTO</t>
  </si>
  <si>
    <t xml:space="preserve">ANALISIS DE DESCENTRADO:</t>
  </si>
  <si>
    <t xml:space="preserve">  X̄ = 26.5 h &gt; Target = 24 h → Proceso descentrado +2.5h hacia tiempos MAS LARGOS</t>
  </si>
  <si>
    <t xml:space="preserve">  Cpi (Cpl) = 0.7796 &lt; Cps (Cpu) = 1.1559 → El lado INFERIOR (LSL) es el limitante</t>
  </si>
  <si>
    <t xml:space="preserve">  Cpk = 0.7796 (el minimo) → NO APTO por estar demasiado cerca del LSL=12h</t>
  </si>
  <si>
    <t xml:space="preserve">ASIMETRIA Cpk vs Cpm:</t>
  </si>
  <si>
    <t xml:space="preserve">  Cpk = 0.7796 → Solo mide la peor distancia a los limites de especificacion</t>
  </si>
  <si>
    <t xml:space="preserve">  Cpm = 0.8972 → PENALIZA la desviacion respecto al target (24h)</t>
  </si>
  <si>
    <t xml:space="preserve">  Cpm &lt; Cp (0.9677) confirma que el descentrado DEGRADA la capacidad</t>
  </si>
  <si>
    <t xml:space="preserve">  τ &gt; σ porque τ incluye el sesgo (X̄-T)² adicional a σ²</t>
  </si>
  <si>
    <t xml:space="preserve">RECOMENDACION para el area de credito:</t>
  </si>
  <si>
    <t xml:space="preserve">  1. REDUCIR la variabilidad (σ=6.2h es muy alta) estandarizando el proceso</t>
  </si>
  <si>
    <t xml:space="preserve">  2. RE-CENTRAR el proceso hacia el target de 24h (actualmente tarda 2.5h mas)</t>
  </si>
  <si>
    <t xml:space="preserve">  3. NO RENOVAR el SLA actual hasta mejorar → Cpk y Cpm deben ser &gt;= 1.33</t>
  </si>
  <si>
    <t xml:space="preserve">  4. Investigar causas de los tiempos largos (cuellos de botella, documentacion)</t>
  </si>
  <si>
    <t xml:space="preserve">GRAFICA DE CAPACIDAD DEL PROCESO</t>
  </si>
  <si>
    <t xml:space="preserve">x (horas)</t>
  </si>
  <si>
    <t xml:space="preserve">Densidad</t>
  </si>
  <si>
    <t xml:space="preserve">LSL=12</t>
  </si>
  <si>
    <t xml:space="preserve">USL=48</t>
  </si>
  <si>
    <t xml:space="preserve">Target=24</t>
  </si>
  <si>
    <t xml:space="preserve">Media=26.5</t>
  </si>
  <si>
    <t xml:space="preserve">COMPARACION DE INDICES DE CAPACIDAD</t>
  </si>
  <si>
    <t xml:space="preserve">Limite APTO (1.33)</t>
  </si>
  <si>
    <t xml:space="preserve">Limite MARGINAL (1.00)</t>
  </si>
  <si>
    <t xml:space="preserve">Cpm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</si>
</sst>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1"/>
      <color rgb="FFFFC00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8B855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Indices de Capacidad - Problema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'Grafica Indices'!B2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Indices'!$A$3:$A$7</c:f>
              <c:strCache>
                <c:ptCount val="5"/>
                <c:pt idx="0">
                  <c:v>Cp</c:v>
                </c:pt>
                <c:pt idx="1">
                  <c:v>Cpi (Cpl)</c:v>
                </c:pt>
                <c:pt idx="2">
                  <c:v>Cps (Cpu)</c:v>
                </c:pt>
                <c:pt idx="3">
                  <c:v>Cpk</c:v>
                </c:pt>
                <c:pt idx="4">
                  <c:v>Cpm</c:v>
                </c:pt>
              </c:strCache>
            </c:strRef>
          </c:cat>
          <c:val>
            <c:numRef>
              <c:f>'Grafica Indices'!$B$3:$B$7</c:f>
              <c:numCache>
                <c:formatCode>0.0000</c:formatCode>
                <c:ptCount val="5"/>
                <c:pt idx="0">
                  <c:v>0.9677</c:v>
                </c:pt>
                <c:pt idx="1">
                  <c:v>0.7796</c:v>
                </c:pt>
                <c:pt idx="2">
                  <c:v>1.1559</c:v>
                </c:pt>
                <c:pt idx="3">
                  <c:v>0.7796</c:v>
                </c:pt>
                <c:pt idx="4">
                  <c:v>0.8975</c:v>
                </c:pt>
              </c:numCache>
            </c:numRef>
          </c:val>
        </c:ser>
        <c:gapWidth val="150"/>
        <c:overlap val="0"/>
        <c:axId val="8361716"/>
        <c:axId val="58873419"/>
      </c:barChart>
      <c:lineChart>
        <c:grouping val="standard"/>
        <c:varyColors val="0"/>
        <c:ser>
          <c:idx val="1"/>
          <c:order val="1"/>
          <c:tx>
            <c:strRef>
              <c:f>'Grafica Indices'!C2</c:f>
              <c:strCache>
                <c:ptCount val="1"/>
                <c:pt idx="0">
                  <c:v>Limite APTO (1.33)</c:v>
                </c:pt>
              </c:strCache>
            </c:strRef>
          </c:tx>
          <c:spPr>
            <a:solidFill>
              <a:srgbClr val="ffc000"/>
            </a:solidFill>
            <a:ln w="248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Indices'!$A$3:$A$7</c:f>
              <c:strCache>
                <c:ptCount val="5"/>
                <c:pt idx="0">
                  <c:v>Cp</c:v>
                </c:pt>
                <c:pt idx="1">
                  <c:v>Cpi (Cpl)</c:v>
                </c:pt>
                <c:pt idx="2">
                  <c:v>Cps (Cpu)</c:v>
                </c:pt>
                <c:pt idx="3">
                  <c:v>Cpk</c:v>
                </c:pt>
                <c:pt idx="4">
                  <c:v>Cpm</c:v>
                </c:pt>
              </c:strCache>
            </c:strRef>
          </c:cat>
          <c:val>
            <c:numRef>
              <c:f>'Grafica Indices'!$C$3:$C$7</c:f>
              <c:numCache>
                <c:formatCode>0.00</c:formatCode>
                <c:ptCount val="5"/>
                <c:pt idx="0">
                  <c:v>1.33</c:v>
                </c:pt>
                <c:pt idx="1">
                  <c:v>1.33</c:v>
                </c:pt>
                <c:pt idx="2">
                  <c:v>1.33</c:v>
                </c:pt>
                <c:pt idx="3">
                  <c:v>1.33</c:v>
                </c:pt>
                <c:pt idx="4">
                  <c:v>1.33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'Grafica Indices'!D2</c:f>
              <c:strCache>
                <c:ptCount val="1"/>
                <c:pt idx="0">
                  <c:v>Limite MARGINAL (1.00)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Indices'!$A$3:$A$7</c:f>
              <c:strCache>
                <c:ptCount val="5"/>
                <c:pt idx="0">
                  <c:v>Cp</c:v>
                </c:pt>
                <c:pt idx="1">
                  <c:v>Cpi (Cpl)</c:v>
                </c:pt>
                <c:pt idx="2">
                  <c:v>Cps (Cpu)</c:v>
                </c:pt>
                <c:pt idx="3">
                  <c:v>Cpk</c:v>
                </c:pt>
                <c:pt idx="4">
                  <c:v>Cpm</c:v>
                </c:pt>
              </c:strCache>
            </c:strRef>
          </c:cat>
          <c:val>
            <c:numRef>
              <c:f>'Grafica Indices'!$D$3:$D$7</c:f>
              <c:numCache>
                <c:formatCode>0.00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61716"/>
        <c:axId val="58873419"/>
      </c:lineChart>
      <c:catAx>
        <c:axId val="8361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73419"/>
        <c:crosses val="autoZero"/>
        <c:auto val="1"/>
        <c:lblAlgn val="ctr"/>
        <c:lblOffset val="100"/>
        <c:noMultiLvlLbl val="0"/>
      </c:catAx>
      <c:valAx>
        <c:axId val="58873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del indice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1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385560</xdr:colOff>
      <xdr:row>34</xdr:row>
      <xdr:rowOff>86400</xdr:rowOff>
    </xdr:to>
    <xdr:graphicFrame>
      <xdr:nvGraphicFramePr>
        <xdr:cNvPr id="0" name="Chart 1"/>
        <xdr:cNvGraphicFramePr/>
      </xdr:nvGraphicFramePr>
      <xdr:xfrm>
        <a:off x="0" y="15238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26.5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6.2</v>
      </c>
      <c r="C6" s="6" t="s">
        <v>4</v>
      </c>
    </row>
    <row r="7" customFormat="false" ht="15" hidden="false" customHeight="false" outlineLevel="0" collapsed="false">
      <c r="A7" s="4" t="s">
        <v>6</v>
      </c>
      <c r="B7" s="5" t="n">
        <v>150</v>
      </c>
      <c r="C7" s="6"/>
    </row>
    <row r="8" customFormat="false" ht="15" hidden="false" customHeight="false" outlineLevel="0" collapsed="false">
      <c r="A8" s="4" t="s">
        <v>7</v>
      </c>
      <c r="B8" s="5" t="n">
        <v>24</v>
      </c>
      <c r="C8" s="6" t="s">
        <v>4</v>
      </c>
    </row>
    <row r="9" customFormat="false" ht="15" hidden="false" customHeight="false" outlineLevel="0" collapsed="false">
      <c r="A9" s="4" t="s">
        <v>8</v>
      </c>
      <c r="B9" s="5" t="n">
        <v>12</v>
      </c>
      <c r="C9" s="6" t="s">
        <v>4</v>
      </c>
    </row>
    <row r="10" customFormat="false" ht="15" hidden="false" customHeight="false" outlineLevel="0" collapsed="false">
      <c r="A10" s="4" t="s">
        <v>9</v>
      </c>
      <c r="B10" s="5" t="n">
        <v>48</v>
      </c>
      <c r="C10" s="6" t="s">
        <v>4</v>
      </c>
    </row>
    <row r="12" customFormat="false" ht="15" hidden="false" customHeight="false" outlineLevel="0" collapsed="false">
      <c r="A12" s="7" t="s">
        <v>10</v>
      </c>
      <c r="B12" s="7"/>
      <c r="C12" s="7"/>
      <c r="D12" s="7"/>
      <c r="E12" s="7"/>
    </row>
    <row r="13" customFormat="false" ht="15" hidden="false" customHeight="false" outlineLevel="0" collapsed="false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15</v>
      </c>
    </row>
    <row r="14" customFormat="false" ht="15" hidden="false" customHeight="false" outlineLevel="0" collapsed="false">
      <c r="A14" s="9" t="s">
        <v>16</v>
      </c>
      <c r="B14" s="6" t="s">
        <v>17</v>
      </c>
      <c r="C14" s="6" t="n">
        <f aca="false">(B10-B9)/(6*B6)</f>
        <v>0.967741935483871</v>
      </c>
      <c r="D14" s="10" t="n">
        <f aca="false">(B10-B9)/(6*B6)</f>
        <v>0.967741935483871</v>
      </c>
      <c r="E14" s="6" t="str">
        <f aca="false">IF(D14&gt;=1.33,"APTO",IF(D14&gt;=1,"MARGINAL","NO APTO"))</f>
        <v>NO APTO</v>
      </c>
    </row>
    <row r="15" customFormat="false" ht="15" hidden="false" customHeight="false" outlineLevel="0" collapsed="false">
      <c r="A15" s="9" t="s">
        <v>18</v>
      </c>
      <c r="B15" s="6" t="s">
        <v>19</v>
      </c>
      <c r="C15" s="6" t="n">
        <f aca="false">(B5-B9)/(3*B6)</f>
        <v>0.779569892473118</v>
      </c>
      <c r="D15" s="10" t="n">
        <f aca="false">(B5-B9)/(3*B6)</f>
        <v>0.779569892473118</v>
      </c>
      <c r="E15" s="6" t="str">
        <f aca="false">IF(D15&gt;=1.33,"APTO",IF(D15&gt;=1,"MARGINAL","NO APTO"))</f>
        <v>NO APTO</v>
      </c>
    </row>
    <row r="16" customFormat="false" ht="15" hidden="false" customHeight="false" outlineLevel="0" collapsed="false">
      <c r="A16" s="9" t="s">
        <v>20</v>
      </c>
      <c r="B16" s="6" t="s">
        <v>21</v>
      </c>
      <c r="C16" s="6" t="n">
        <f aca="false">(B10-B5)/(3*B6)</f>
        <v>1.15591397849462</v>
      </c>
      <c r="D16" s="10" t="n">
        <f aca="false">(B10-B5)/(3*B6)</f>
        <v>1.15591397849462</v>
      </c>
      <c r="E16" s="6" t="str">
        <f aca="false">IF(D16&gt;=1.33,"APTO",IF(D16&gt;=1,"MARGINAL","NO APTO"))</f>
        <v>MARGINAL</v>
      </c>
    </row>
    <row r="17" customFormat="false" ht="15" hidden="false" customHeight="false" outlineLevel="0" collapsed="false">
      <c r="A17" s="11" t="s">
        <v>22</v>
      </c>
      <c r="B17" s="6" t="s">
        <v>23</v>
      </c>
      <c r="C17" s="6" t="n">
        <f aca="false">MIN(D15,D16)</f>
        <v>0.779569892473118</v>
      </c>
      <c r="D17" s="12" t="n">
        <f aca="false">MIN(D15,D16)</f>
        <v>0.779569892473118</v>
      </c>
      <c r="E17" s="13" t="str">
        <f aca="false">IF(D17&gt;=1.33,"APTO",IF(D17&gt;=1,"MARGINAL","NO APTO"))</f>
        <v>NO APTO</v>
      </c>
    </row>
    <row r="19" customFormat="false" ht="15" hidden="false" customHeight="false" outlineLevel="0" collapsed="false">
      <c r="A19" s="14" t="s">
        <v>24</v>
      </c>
      <c r="B19" s="14"/>
      <c r="C19" s="14"/>
      <c r="D19" s="14"/>
      <c r="E19" s="14"/>
    </row>
    <row r="20" customFormat="false" ht="15" hidden="false" customHeight="false" outlineLevel="0" collapsed="false">
      <c r="A20" s="9" t="s">
        <v>25</v>
      </c>
      <c r="B20" s="6" t="s">
        <v>26</v>
      </c>
      <c r="C20" s="6" t="n">
        <f aca="false">SQRT(B6^2+(B5-B8)^2)</f>
        <v>6.68505796534331</v>
      </c>
      <c r="D20" s="10" t="n">
        <f aca="false">SQRT(B6^2+(B5-B8)^2)</f>
        <v>6.68505796534331</v>
      </c>
      <c r="E20" s="6"/>
    </row>
    <row r="21" customFormat="false" ht="15" hidden="false" customHeight="false" outlineLevel="0" collapsed="false">
      <c r="A21" s="11" t="s">
        <v>27</v>
      </c>
      <c r="B21" s="6" t="s">
        <v>28</v>
      </c>
      <c r="C21" s="6" t="n">
        <f aca="false">(B10-B9)/(6*D20)</f>
        <v>0.897524005192657</v>
      </c>
      <c r="D21" s="12" t="n">
        <f aca="false">(B10-B9)/(6*D20)</f>
        <v>0.897524005192657</v>
      </c>
      <c r="E21" s="13" t="str">
        <f aca="false">IF(D21&gt;=1.33,"APTO",IF(D21&gt;=1,"MARGINAL","NO APTO"))</f>
        <v>NO APTO</v>
      </c>
    </row>
    <row r="23" customFormat="false" ht="15" hidden="false" customHeight="false" outlineLevel="0" collapsed="false">
      <c r="A23" s="9" t="s">
        <v>29</v>
      </c>
      <c r="B23" s="6"/>
    </row>
    <row r="24" customFormat="false" ht="15" hidden="false" customHeight="false" outlineLevel="0" collapsed="false">
      <c r="A24" s="6" t="s">
        <v>30</v>
      </c>
      <c r="B24" s="15" t="n">
        <f aca="false">B6^2</f>
        <v>38.44</v>
      </c>
    </row>
    <row r="25" customFormat="false" ht="15" hidden="false" customHeight="false" outlineLevel="0" collapsed="false">
      <c r="A25" s="6" t="s">
        <v>31</v>
      </c>
      <c r="B25" s="15" t="n">
        <f aca="false">(B5-B8)^2</f>
        <v>6.25</v>
      </c>
    </row>
    <row r="26" customFormat="false" ht="15" hidden="false" customHeight="false" outlineLevel="0" collapsed="false">
      <c r="A26" s="6" t="s">
        <v>32</v>
      </c>
      <c r="B26" s="15" t="n">
        <f aca="false">B24+B25</f>
        <v>44.69</v>
      </c>
    </row>
    <row r="27" customFormat="false" ht="15" hidden="false" customHeight="false" outlineLevel="0" collapsed="false">
      <c r="A27" s="6" t="s">
        <v>33</v>
      </c>
      <c r="B27" s="10" t="n">
        <f aca="false">D20</f>
        <v>6.68505796534331</v>
      </c>
    </row>
    <row r="28" customFormat="false" ht="15" hidden="false" customHeight="false" outlineLevel="0" collapsed="false">
      <c r="A28" s="6" t="s">
        <v>34</v>
      </c>
      <c r="B28" s="10" t="n">
        <f aca="false">6*D20</f>
        <v>40.1103477920599</v>
      </c>
    </row>
    <row r="29" customFormat="false" ht="15" hidden="false" customHeight="false" outlineLevel="0" collapsed="false">
      <c r="A29" s="6" t="s">
        <v>35</v>
      </c>
      <c r="B29" s="10" t="n">
        <f aca="false">D21</f>
        <v>0.897524005192657</v>
      </c>
    </row>
    <row r="31" customFormat="false" ht="15" hidden="false" customHeight="false" outlineLevel="0" collapsed="false">
      <c r="A31" s="16" t="s">
        <v>36</v>
      </c>
      <c r="B31" s="16"/>
      <c r="C31" s="16"/>
      <c r="D31" s="16"/>
      <c r="E31" s="16"/>
    </row>
    <row r="32" customFormat="false" ht="15" hidden="false" customHeight="false" outlineLevel="0" collapsed="false">
      <c r="A32" s="6" t="s">
        <v>37</v>
      </c>
      <c r="B32" s="17" t="s">
        <v>38</v>
      </c>
    </row>
    <row r="33" customFormat="false" ht="15" hidden="false" customHeight="false" outlineLevel="0" collapsed="false">
      <c r="A33" s="6" t="s">
        <v>39</v>
      </c>
      <c r="B33" s="18" t="s">
        <v>40</v>
      </c>
    </row>
    <row r="34" customFormat="false" ht="15" hidden="false" customHeight="false" outlineLevel="0" collapsed="false">
      <c r="A34" s="6" t="s">
        <v>41</v>
      </c>
      <c r="B34" s="13" t="s">
        <v>42</v>
      </c>
    </row>
    <row r="36" customFormat="false" ht="15" hidden="false" customHeight="false" outlineLevel="0" collapsed="false">
      <c r="A36" s="14" t="s">
        <v>43</v>
      </c>
      <c r="B36" s="14"/>
      <c r="C36" s="14"/>
      <c r="D36" s="14"/>
      <c r="E36" s="14"/>
    </row>
    <row r="37" customFormat="false" ht="15" hidden="false" customHeight="false" outlineLevel="0" collapsed="false">
      <c r="A37" s="19" t="s">
        <v>44</v>
      </c>
      <c r="B37" s="19"/>
      <c r="C37" s="19"/>
      <c r="D37" s="19"/>
      <c r="E37" s="19"/>
    </row>
    <row r="38" customFormat="false" ht="15" hidden="false" customHeight="false" outlineLevel="0" collapsed="false">
      <c r="A38" s="20"/>
      <c r="B38" s="20"/>
      <c r="C38" s="20"/>
      <c r="D38" s="20"/>
      <c r="E38" s="20"/>
    </row>
    <row r="39" customFormat="false" ht="15" hidden="false" customHeight="false" outlineLevel="0" collapsed="false">
      <c r="A39" s="21" t="s">
        <v>45</v>
      </c>
      <c r="B39" s="21"/>
      <c r="C39" s="21"/>
      <c r="D39" s="21"/>
      <c r="E39" s="21"/>
    </row>
    <row r="40" customFormat="false" ht="15" hidden="false" customHeight="false" outlineLevel="0" collapsed="false">
      <c r="A40" s="20" t="s">
        <v>46</v>
      </c>
      <c r="B40" s="20"/>
      <c r="C40" s="20"/>
      <c r="D40" s="20"/>
      <c r="E40" s="20"/>
    </row>
    <row r="41" customFormat="false" ht="15" hidden="false" customHeight="false" outlineLevel="0" collapsed="false">
      <c r="A41" s="20" t="s">
        <v>47</v>
      </c>
      <c r="B41" s="20"/>
      <c r="C41" s="20"/>
      <c r="D41" s="20"/>
      <c r="E41" s="20"/>
    </row>
    <row r="42" customFormat="false" ht="15" hidden="false" customHeight="false" outlineLevel="0" collapsed="false">
      <c r="A42" s="20" t="s">
        <v>48</v>
      </c>
      <c r="B42" s="20"/>
      <c r="C42" s="20"/>
      <c r="D42" s="20"/>
      <c r="E42" s="20"/>
    </row>
    <row r="43" customFormat="false" ht="15" hidden="false" customHeight="false" outlineLevel="0" collapsed="false">
      <c r="A43" s="20"/>
      <c r="B43" s="20"/>
      <c r="C43" s="20"/>
      <c r="D43" s="20"/>
      <c r="E43" s="20"/>
    </row>
    <row r="44" customFormat="false" ht="15" hidden="false" customHeight="false" outlineLevel="0" collapsed="false">
      <c r="A44" s="21" t="s">
        <v>49</v>
      </c>
      <c r="B44" s="21"/>
      <c r="C44" s="21"/>
      <c r="D44" s="21"/>
      <c r="E44" s="21"/>
    </row>
    <row r="45" customFormat="false" ht="15" hidden="false" customHeight="false" outlineLevel="0" collapsed="false">
      <c r="A45" s="20" t="s">
        <v>50</v>
      </c>
      <c r="B45" s="20"/>
      <c r="C45" s="20"/>
      <c r="D45" s="20"/>
      <c r="E45" s="20"/>
    </row>
    <row r="46" customFormat="false" ht="15" hidden="false" customHeight="false" outlineLevel="0" collapsed="false">
      <c r="A46" s="20" t="s">
        <v>51</v>
      </c>
      <c r="B46" s="20"/>
      <c r="C46" s="20"/>
      <c r="D46" s="20"/>
      <c r="E46" s="20"/>
    </row>
    <row r="47" customFormat="false" ht="15" hidden="false" customHeight="false" outlineLevel="0" collapsed="false">
      <c r="A47" s="20" t="s">
        <v>52</v>
      </c>
      <c r="B47" s="20"/>
      <c r="C47" s="20"/>
      <c r="D47" s="20"/>
      <c r="E47" s="20"/>
    </row>
    <row r="48" customFormat="false" ht="15" hidden="false" customHeight="false" outlineLevel="0" collapsed="false">
      <c r="A48" s="20" t="s">
        <v>53</v>
      </c>
      <c r="B48" s="20"/>
      <c r="C48" s="20"/>
      <c r="D48" s="20"/>
      <c r="E48" s="20"/>
    </row>
    <row r="49" customFormat="false" ht="15" hidden="false" customHeight="false" outlineLevel="0" collapsed="false">
      <c r="A49" s="20"/>
      <c r="B49" s="20"/>
      <c r="C49" s="20"/>
      <c r="D49" s="20"/>
      <c r="E49" s="20"/>
    </row>
    <row r="50" customFormat="false" ht="15" hidden="false" customHeight="false" outlineLevel="0" collapsed="false">
      <c r="A50" s="21" t="s">
        <v>54</v>
      </c>
      <c r="B50" s="21"/>
      <c r="C50" s="21"/>
      <c r="D50" s="21"/>
      <c r="E50" s="21"/>
    </row>
    <row r="51" customFormat="false" ht="15" hidden="false" customHeight="false" outlineLevel="0" collapsed="false">
      <c r="A51" s="20" t="s">
        <v>55</v>
      </c>
      <c r="B51" s="20"/>
      <c r="C51" s="20"/>
      <c r="D51" s="20"/>
      <c r="E51" s="20"/>
    </row>
    <row r="52" customFormat="false" ht="15" hidden="false" customHeight="false" outlineLevel="0" collapsed="false">
      <c r="A52" s="20" t="s">
        <v>56</v>
      </c>
      <c r="B52" s="20"/>
      <c r="C52" s="20"/>
      <c r="D52" s="20"/>
      <c r="E52" s="20"/>
    </row>
    <row r="53" customFormat="false" ht="15" hidden="false" customHeight="false" outlineLevel="0" collapsed="false">
      <c r="A53" s="19" t="s">
        <v>57</v>
      </c>
      <c r="B53" s="19"/>
      <c r="C53" s="19"/>
      <c r="D53" s="19"/>
      <c r="E53" s="19"/>
    </row>
    <row r="54" customFormat="false" ht="15" hidden="false" customHeight="false" outlineLevel="0" collapsed="false">
      <c r="A54" s="20" t="s">
        <v>58</v>
      </c>
      <c r="B54" s="20"/>
      <c r="C54" s="20"/>
      <c r="D54" s="20"/>
      <c r="E54" s="20"/>
    </row>
  </sheetData>
  <mergeCells count="25">
    <mergeCell ref="A1:E1"/>
    <mergeCell ref="A2:E2"/>
    <mergeCell ref="A4:B4"/>
    <mergeCell ref="A12:E12"/>
    <mergeCell ref="A19:E19"/>
    <mergeCell ref="A31:E31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59</v>
      </c>
      <c r="B1" s="3"/>
      <c r="C1" s="3"/>
      <c r="D1" s="3"/>
    </row>
    <row r="2" customFormat="false" ht="15" hidden="false" customHeight="false" outlineLevel="0" collapsed="false">
      <c r="A2" s="22" t="s">
        <v>60</v>
      </c>
      <c r="B2" s="22" t="s">
        <v>61</v>
      </c>
      <c r="C2" s="22" t="s">
        <v>62</v>
      </c>
      <c r="D2" s="22" t="s">
        <v>63</v>
      </c>
      <c r="E2" s="22" t="s">
        <v>64</v>
      </c>
      <c r="F2" s="22" t="s">
        <v>65</v>
      </c>
    </row>
    <row r="3" customFormat="false" ht="15" hidden="false" customHeight="false" outlineLevel="0" collapsed="false">
      <c r="A3" s="0" t="n">
        <v>0</v>
      </c>
      <c r="B3" s="0" t="n">
        <v>7E-006</v>
      </c>
    </row>
    <row r="4" customFormat="false" ht="15" hidden="false" customHeight="false" outlineLevel="0" collapsed="false">
      <c r="A4" s="0" t="n">
        <v>0.28</v>
      </c>
      <c r="B4" s="0" t="n">
        <v>8E-006</v>
      </c>
    </row>
    <row r="5" customFormat="false" ht="15" hidden="false" customHeight="false" outlineLevel="0" collapsed="false">
      <c r="A5" s="0" t="n">
        <v>0.55</v>
      </c>
      <c r="B5" s="0" t="n">
        <v>1E-005</v>
      </c>
    </row>
    <row r="6" customFormat="false" ht="15" hidden="false" customHeight="false" outlineLevel="0" collapsed="false">
      <c r="A6" s="0" t="n">
        <v>0.83</v>
      </c>
      <c r="B6" s="0" t="n">
        <v>1.2E-005</v>
      </c>
    </row>
    <row r="7" customFormat="false" ht="15" hidden="false" customHeight="false" outlineLevel="0" collapsed="false">
      <c r="A7" s="0" t="n">
        <v>1.11</v>
      </c>
      <c r="B7" s="0" t="n">
        <v>1.5E-005</v>
      </c>
    </row>
    <row r="8" customFormat="false" ht="15" hidden="false" customHeight="false" outlineLevel="0" collapsed="false">
      <c r="A8" s="0" t="n">
        <v>1.38</v>
      </c>
      <c r="B8" s="0" t="n">
        <v>1.8E-005</v>
      </c>
    </row>
    <row r="9" customFormat="false" ht="15" hidden="false" customHeight="false" outlineLevel="0" collapsed="false">
      <c r="A9" s="0" t="n">
        <v>1.66</v>
      </c>
      <c r="B9" s="0" t="n">
        <v>2.1E-005</v>
      </c>
    </row>
    <row r="10" customFormat="false" ht="15" hidden="false" customHeight="false" outlineLevel="0" collapsed="false">
      <c r="A10" s="0" t="n">
        <v>1.93</v>
      </c>
      <c r="B10" s="0" t="n">
        <v>2.5E-005</v>
      </c>
    </row>
    <row r="11" customFormat="false" ht="15" hidden="false" customHeight="false" outlineLevel="0" collapsed="false">
      <c r="A11" s="0" t="n">
        <v>2.21</v>
      </c>
      <c r="B11" s="0" t="n">
        <v>3E-005</v>
      </c>
    </row>
    <row r="12" customFormat="false" ht="15" hidden="false" customHeight="false" outlineLevel="0" collapsed="false">
      <c r="A12" s="0" t="n">
        <v>2.49</v>
      </c>
      <c r="B12" s="0" t="n">
        <v>3.6E-005</v>
      </c>
    </row>
    <row r="13" customFormat="false" ht="15" hidden="false" customHeight="false" outlineLevel="0" collapsed="false">
      <c r="A13" s="0" t="n">
        <v>2.76</v>
      </c>
      <c r="B13" s="0" t="n">
        <v>4.2E-005</v>
      </c>
    </row>
    <row r="14" customFormat="false" ht="15" hidden="false" customHeight="false" outlineLevel="0" collapsed="false">
      <c r="A14" s="0" t="n">
        <v>3.04</v>
      </c>
      <c r="B14" s="0" t="n">
        <v>5E-005</v>
      </c>
    </row>
    <row r="15" customFormat="false" ht="15" hidden="false" customHeight="false" outlineLevel="0" collapsed="false">
      <c r="A15" s="0" t="n">
        <v>3.32</v>
      </c>
      <c r="B15" s="0" t="n">
        <v>5.9E-005</v>
      </c>
    </row>
    <row r="16" customFormat="false" ht="15" hidden="false" customHeight="false" outlineLevel="0" collapsed="false">
      <c r="A16" s="0" t="n">
        <v>3.59</v>
      </c>
      <c r="B16" s="0" t="n">
        <v>7E-005</v>
      </c>
    </row>
    <row r="17" customFormat="false" ht="15" hidden="false" customHeight="false" outlineLevel="0" collapsed="false">
      <c r="A17" s="0" t="n">
        <v>3.87</v>
      </c>
      <c r="B17" s="0" t="n">
        <v>8.2E-005</v>
      </c>
    </row>
    <row r="18" customFormat="false" ht="15" hidden="false" customHeight="false" outlineLevel="0" collapsed="false">
      <c r="A18" s="0" t="n">
        <v>4.15</v>
      </c>
      <c r="B18" s="0" t="n">
        <v>9.7E-005</v>
      </c>
    </row>
    <row r="19" customFormat="false" ht="15" hidden="false" customHeight="false" outlineLevel="0" collapsed="false">
      <c r="A19" s="0" t="n">
        <v>4.42</v>
      </c>
      <c r="B19" s="0" t="n">
        <v>0.000114</v>
      </c>
    </row>
    <row r="20" customFormat="false" ht="15" hidden="false" customHeight="false" outlineLevel="0" collapsed="false">
      <c r="A20" s="0" t="n">
        <v>4.7</v>
      </c>
      <c r="B20" s="0" t="n">
        <v>0.000133</v>
      </c>
    </row>
    <row r="21" customFormat="false" ht="15" hidden="false" customHeight="false" outlineLevel="0" collapsed="false">
      <c r="A21" s="0" t="n">
        <v>4.97</v>
      </c>
      <c r="B21" s="0" t="n">
        <v>0.000155</v>
      </c>
    </row>
    <row r="22" customFormat="false" ht="15" hidden="false" customHeight="false" outlineLevel="0" collapsed="false">
      <c r="A22" s="0" t="n">
        <v>5.25</v>
      </c>
      <c r="B22" s="0" t="n">
        <v>0.000181</v>
      </c>
    </row>
    <row r="23" customFormat="false" ht="15" hidden="false" customHeight="false" outlineLevel="0" collapsed="false">
      <c r="A23" s="0" t="n">
        <v>5.53</v>
      </c>
      <c r="B23" s="0" t="n">
        <v>0.000211</v>
      </c>
    </row>
    <row r="24" customFormat="false" ht="15" hidden="false" customHeight="false" outlineLevel="0" collapsed="false">
      <c r="A24" s="0" t="n">
        <v>5.8</v>
      </c>
      <c r="B24" s="0" t="n">
        <v>0.000245</v>
      </c>
    </row>
    <row r="25" customFormat="false" ht="15" hidden="false" customHeight="false" outlineLevel="0" collapsed="false">
      <c r="A25" s="0" t="n">
        <v>6.08</v>
      </c>
      <c r="B25" s="0" t="n">
        <v>0.000284</v>
      </c>
    </row>
    <row r="26" customFormat="false" ht="15" hidden="false" customHeight="false" outlineLevel="0" collapsed="false">
      <c r="A26" s="0" t="n">
        <v>6.36</v>
      </c>
      <c r="B26" s="0" t="n">
        <v>0.000328</v>
      </c>
    </row>
    <row r="27" customFormat="false" ht="15" hidden="false" customHeight="false" outlineLevel="0" collapsed="false">
      <c r="A27" s="0" t="n">
        <v>6.63</v>
      </c>
      <c r="B27" s="0" t="n">
        <v>0.000379</v>
      </c>
    </row>
    <row r="28" customFormat="false" ht="15" hidden="false" customHeight="false" outlineLevel="0" collapsed="false">
      <c r="A28" s="0" t="n">
        <v>6.91</v>
      </c>
      <c r="B28" s="0" t="n">
        <v>0.000437</v>
      </c>
    </row>
    <row r="29" customFormat="false" ht="15" hidden="false" customHeight="false" outlineLevel="0" collapsed="false">
      <c r="A29" s="0" t="n">
        <v>7.19</v>
      </c>
      <c r="B29" s="0" t="n">
        <v>0.000503</v>
      </c>
    </row>
    <row r="30" customFormat="false" ht="15" hidden="false" customHeight="false" outlineLevel="0" collapsed="false">
      <c r="A30" s="0" t="n">
        <v>7.46</v>
      </c>
      <c r="B30" s="0" t="n">
        <v>0.000577</v>
      </c>
    </row>
    <row r="31" customFormat="false" ht="15" hidden="false" customHeight="false" outlineLevel="0" collapsed="false">
      <c r="A31" s="0" t="n">
        <v>7.74</v>
      </c>
      <c r="B31" s="0" t="n">
        <v>0.000661</v>
      </c>
    </row>
    <row r="32" customFormat="false" ht="15" hidden="false" customHeight="false" outlineLevel="0" collapsed="false">
      <c r="A32" s="0" t="n">
        <v>8.02</v>
      </c>
      <c r="B32" s="0" t="n">
        <v>0.000756</v>
      </c>
    </row>
    <row r="33" customFormat="false" ht="15" hidden="false" customHeight="false" outlineLevel="0" collapsed="false">
      <c r="A33" s="0" t="n">
        <v>8.29</v>
      </c>
      <c r="B33" s="0" t="n">
        <v>0.000862</v>
      </c>
    </row>
    <row r="34" customFormat="false" ht="15" hidden="false" customHeight="false" outlineLevel="0" collapsed="false">
      <c r="A34" s="0" t="n">
        <v>8.57</v>
      </c>
      <c r="B34" s="0" t="n">
        <v>0.000982</v>
      </c>
    </row>
    <row r="35" customFormat="false" ht="15" hidden="false" customHeight="false" outlineLevel="0" collapsed="false">
      <c r="A35" s="0" t="n">
        <v>8.84</v>
      </c>
      <c r="B35" s="0" t="n">
        <v>0.001116</v>
      </c>
    </row>
    <row r="36" customFormat="false" ht="15" hidden="false" customHeight="false" outlineLevel="0" collapsed="false">
      <c r="A36" s="0" t="n">
        <v>9.12</v>
      </c>
      <c r="B36" s="0" t="n">
        <v>0.001266</v>
      </c>
    </row>
    <row r="37" customFormat="false" ht="15" hidden="false" customHeight="false" outlineLevel="0" collapsed="false">
      <c r="A37" s="0" t="n">
        <v>9.4</v>
      </c>
      <c r="B37" s="0" t="n">
        <v>0.001433</v>
      </c>
    </row>
    <row r="38" customFormat="false" ht="15" hidden="false" customHeight="false" outlineLevel="0" collapsed="false">
      <c r="A38" s="0" t="n">
        <v>9.67</v>
      </c>
      <c r="B38" s="0" t="n">
        <v>0.001618</v>
      </c>
    </row>
    <row r="39" customFormat="false" ht="15" hidden="false" customHeight="false" outlineLevel="0" collapsed="false">
      <c r="A39" s="0" t="n">
        <v>9.95</v>
      </c>
      <c r="B39" s="0" t="n">
        <v>0.001825</v>
      </c>
    </row>
    <row r="40" customFormat="false" ht="15" hidden="false" customHeight="false" outlineLevel="0" collapsed="false">
      <c r="A40" s="0" t="n">
        <v>10.23</v>
      </c>
      <c r="B40" s="0" t="n">
        <v>0.002053</v>
      </c>
    </row>
    <row r="41" customFormat="false" ht="15" hidden="false" customHeight="false" outlineLevel="0" collapsed="false">
      <c r="A41" s="0" t="n">
        <v>10.5</v>
      </c>
      <c r="B41" s="0" t="n">
        <v>0.002306</v>
      </c>
    </row>
    <row r="42" customFormat="false" ht="15" hidden="false" customHeight="false" outlineLevel="0" collapsed="false">
      <c r="A42" s="0" t="n">
        <v>10.78</v>
      </c>
      <c r="B42" s="0" t="n">
        <v>0.002584</v>
      </c>
    </row>
    <row r="43" customFormat="false" ht="15" hidden="false" customHeight="false" outlineLevel="0" collapsed="false">
      <c r="A43" s="0" t="n">
        <v>11.06</v>
      </c>
      <c r="B43" s="0" t="n">
        <v>0.002891</v>
      </c>
    </row>
    <row r="44" customFormat="false" ht="15" hidden="false" customHeight="false" outlineLevel="0" collapsed="false">
      <c r="A44" s="0" t="n">
        <v>11.33</v>
      </c>
      <c r="B44" s="0" t="n">
        <v>0.003227</v>
      </c>
    </row>
    <row r="45" customFormat="false" ht="15" hidden="false" customHeight="false" outlineLevel="0" collapsed="false">
      <c r="A45" s="0" t="n">
        <v>11.61</v>
      </c>
      <c r="B45" s="0" t="n">
        <v>0.003595</v>
      </c>
    </row>
    <row r="46" customFormat="false" ht="15" hidden="false" customHeight="false" outlineLevel="0" collapsed="false">
      <c r="A46" s="0" t="n">
        <v>11.88</v>
      </c>
      <c r="B46" s="0" t="n">
        <v>0.003998</v>
      </c>
      <c r="C46" s="0" t="n">
        <v>0.003998</v>
      </c>
    </row>
    <row r="47" customFormat="false" ht="15" hidden="false" customHeight="false" outlineLevel="0" collapsed="false">
      <c r="A47" s="0" t="n">
        <v>12.16</v>
      </c>
      <c r="B47" s="0" t="n">
        <v>0.004436</v>
      </c>
      <c r="C47" s="0" t="n">
        <v>0.004436</v>
      </c>
    </row>
    <row r="48" customFormat="false" ht="15" hidden="false" customHeight="false" outlineLevel="0" collapsed="false">
      <c r="A48" s="0" t="n">
        <v>12.44</v>
      </c>
      <c r="B48" s="0" t="n">
        <v>0.004913</v>
      </c>
    </row>
    <row r="49" customFormat="false" ht="15" hidden="false" customHeight="false" outlineLevel="0" collapsed="false">
      <c r="A49" s="0" t="n">
        <v>12.71</v>
      </c>
      <c r="B49" s="0" t="n">
        <v>0.00543</v>
      </c>
    </row>
    <row r="50" customFormat="false" ht="15" hidden="false" customHeight="false" outlineLevel="0" collapsed="false">
      <c r="A50" s="0" t="n">
        <v>12.99</v>
      </c>
      <c r="B50" s="0" t="n">
        <v>0.00599</v>
      </c>
    </row>
    <row r="51" customFormat="false" ht="15" hidden="false" customHeight="false" outlineLevel="0" collapsed="false">
      <c r="A51" s="0" t="n">
        <v>13.27</v>
      </c>
      <c r="B51" s="0" t="n">
        <v>0.006595</v>
      </c>
    </row>
    <row r="52" customFormat="false" ht="15" hidden="false" customHeight="false" outlineLevel="0" collapsed="false">
      <c r="A52" s="0" t="n">
        <v>13.54</v>
      </c>
      <c r="B52" s="0" t="n">
        <v>0.007246</v>
      </c>
    </row>
    <row r="53" customFormat="false" ht="15" hidden="false" customHeight="false" outlineLevel="0" collapsed="false">
      <c r="A53" s="0" t="n">
        <v>13.82</v>
      </c>
      <c r="B53" s="0" t="n">
        <v>0.007946</v>
      </c>
    </row>
    <row r="54" customFormat="false" ht="15" hidden="false" customHeight="false" outlineLevel="0" collapsed="false">
      <c r="A54" s="0" t="n">
        <v>14.1</v>
      </c>
      <c r="B54" s="0" t="n">
        <v>0.008696</v>
      </c>
    </row>
    <row r="55" customFormat="false" ht="15" hidden="false" customHeight="false" outlineLevel="0" collapsed="false">
      <c r="A55" s="0" t="n">
        <v>14.37</v>
      </c>
      <c r="B55" s="0" t="n">
        <v>0.009497</v>
      </c>
    </row>
    <row r="56" customFormat="false" ht="15" hidden="false" customHeight="false" outlineLevel="0" collapsed="false">
      <c r="A56" s="0" t="n">
        <v>14.65</v>
      </c>
      <c r="B56" s="0" t="n">
        <v>0.010352</v>
      </c>
    </row>
    <row r="57" customFormat="false" ht="15" hidden="false" customHeight="false" outlineLevel="0" collapsed="false">
      <c r="A57" s="0" t="n">
        <v>14.92</v>
      </c>
      <c r="B57" s="0" t="n">
        <v>0.011262</v>
      </c>
    </row>
    <row r="58" customFormat="false" ht="15" hidden="false" customHeight="false" outlineLevel="0" collapsed="false">
      <c r="A58" s="0" t="n">
        <v>15.2</v>
      </c>
      <c r="B58" s="0" t="n">
        <v>0.012227</v>
      </c>
    </row>
    <row r="59" customFormat="false" ht="15" hidden="false" customHeight="false" outlineLevel="0" collapsed="false">
      <c r="A59" s="0" t="n">
        <v>15.48</v>
      </c>
      <c r="B59" s="0" t="n">
        <v>0.013249</v>
      </c>
    </row>
    <row r="60" customFormat="false" ht="15" hidden="false" customHeight="false" outlineLevel="0" collapsed="false">
      <c r="A60" s="0" t="n">
        <v>15.75</v>
      </c>
      <c r="B60" s="0" t="n">
        <v>0.014327</v>
      </c>
    </row>
    <row r="61" customFormat="false" ht="15" hidden="false" customHeight="false" outlineLevel="0" collapsed="false">
      <c r="A61" s="0" t="n">
        <v>16.03</v>
      </c>
      <c r="B61" s="0" t="n">
        <v>0.015463</v>
      </c>
    </row>
    <row r="62" customFormat="false" ht="15" hidden="false" customHeight="false" outlineLevel="0" collapsed="false">
      <c r="A62" s="0" t="n">
        <v>16.31</v>
      </c>
      <c r="B62" s="0" t="n">
        <v>0.016655</v>
      </c>
    </row>
    <row r="63" customFormat="false" ht="15" hidden="false" customHeight="false" outlineLevel="0" collapsed="false">
      <c r="A63" s="0" t="n">
        <v>16.58</v>
      </c>
      <c r="B63" s="0" t="n">
        <v>0.017904</v>
      </c>
    </row>
    <row r="64" customFormat="false" ht="15" hidden="false" customHeight="false" outlineLevel="0" collapsed="false">
      <c r="A64" s="0" t="n">
        <v>16.86</v>
      </c>
      <c r="B64" s="0" t="n">
        <v>0.019208</v>
      </c>
    </row>
    <row r="65" customFormat="false" ht="15" hidden="false" customHeight="false" outlineLevel="0" collapsed="false">
      <c r="A65" s="0" t="n">
        <v>17.14</v>
      </c>
      <c r="B65" s="0" t="n">
        <v>0.020566</v>
      </c>
    </row>
    <row r="66" customFormat="false" ht="15" hidden="false" customHeight="false" outlineLevel="0" collapsed="false">
      <c r="A66" s="0" t="n">
        <v>17.41</v>
      </c>
      <c r="B66" s="0" t="n">
        <v>0.021977</v>
      </c>
    </row>
    <row r="67" customFormat="false" ht="15" hidden="false" customHeight="false" outlineLevel="0" collapsed="false">
      <c r="A67" s="0" t="n">
        <v>17.69</v>
      </c>
      <c r="B67" s="0" t="n">
        <v>0.023437</v>
      </c>
    </row>
    <row r="68" customFormat="false" ht="15" hidden="false" customHeight="false" outlineLevel="0" collapsed="false">
      <c r="A68" s="0" t="n">
        <v>17.96</v>
      </c>
      <c r="B68" s="0" t="n">
        <v>0.024946</v>
      </c>
    </row>
    <row r="69" customFormat="false" ht="15" hidden="false" customHeight="false" outlineLevel="0" collapsed="false">
      <c r="A69" s="0" t="n">
        <v>18.24</v>
      </c>
      <c r="B69" s="0" t="n">
        <v>0.026498</v>
      </c>
    </row>
    <row r="70" customFormat="false" ht="15" hidden="false" customHeight="false" outlineLevel="0" collapsed="false">
      <c r="A70" s="0" t="n">
        <v>18.52</v>
      </c>
      <c r="B70" s="0" t="n">
        <v>0.028091</v>
      </c>
    </row>
    <row r="71" customFormat="false" ht="15" hidden="false" customHeight="false" outlineLevel="0" collapsed="false">
      <c r="A71" s="0" t="n">
        <v>18.79</v>
      </c>
      <c r="B71" s="0" t="n">
        <v>0.029721</v>
      </c>
    </row>
    <row r="72" customFormat="false" ht="15" hidden="false" customHeight="false" outlineLevel="0" collapsed="false">
      <c r="A72" s="0" t="n">
        <v>19.07</v>
      </c>
      <c r="B72" s="0" t="n">
        <v>0.031383</v>
      </c>
    </row>
    <row r="73" customFormat="false" ht="15" hidden="false" customHeight="false" outlineLevel="0" collapsed="false">
      <c r="A73" s="0" t="n">
        <v>19.35</v>
      </c>
      <c r="B73" s="0" t="n">
        <v>0.033072</v>
      </c>
    </row>
    <row r="74" customFormat="false" ht="15" hidden="false" customHeight="false" outlineLevel="0" collapsed="false">
      <c r="A74" s="0" t="n">
        <v>19.62</v>
      </c>
      <c r="B74" s="0" t="n">
        <v>0.034783</v>
      </c>
    </row>
    <row r="75" customFormat="false" ht="15" hidden="false" customHeight="false" outlineLevel="0" collapsed="false">
      <c r="A75" s="0" t="n">
        <v>19.9</v>
      </c>
      <c r="B75" s="0" t="n">
        <v>0.03651</v>
      </c>
    </row>
    <row r="76" customFormat="false" ht="15" hidden="false" customHeight="false" outlineLevel="0" collapsed="false">
      <c r="A76" s="0" t="n">
        <v>20.18</v>
      </c>
      <c r="B76" s="0" t="n">
        <v>0.038246</v>
      </c>
    </row>
    <row r="77" customFormat="false" ht="15" hidden="false" customHeight="false" outlineLevel="0" collapsed="false">
      <c r="A77" s="0" t="n">
        <v>20.45</v>
      </c>
      <c r="B77" s="0" t="n">
        <v>0.039986</v>
      </c>
    </row>
    <row r="78" customFormat="false" ht="15" hidden="false" customHeight="false" outlineLevel="0" collapsed="false">
      <c r="A78" s="0" t="n">
        <v>20.73</v>
      </c>
      <c r="B78" s="0" t="n">
        <v>0.041721</v>
      </c>
    </row>
    <row r="79" customFormat="false" ht="15" hidden="false" customHeight="false" outlineLevel="0" collapsed="false">
      <c r="A79" s="0" t="n">
        <v>21.01</v>
      </c>
      <c r="B79" s="0" t="n">
        <v>0.043446</v>
      </c>
    </row>
    <row r="80" customFormat="false" ht="15" hidden="false" customHeight="false" outlineLevel="0" collapsed="false">
      <c r="A80" s="0" t="n">
        <v>21.28</v>
      </c>
      <c r="B80" s="0" t="n">
        <v>0.045152</v>
      </c>
    </row>
    <row r="81" customFormat="false" ht="15" hidden="false" customHeight="false" outlineLevel="0" collapsed="false">
      <c r="A81" s="0" t="n">
        <v>21.56</v>
      </c>
      <c r="B81" s="0" t="n">
        <v>0.046832</v>
      </c>
    </row>
    <row r="82" customFormat="false" ht="15" hidden="false" customHeight="false" outlineLevel="0" collapsed="false">
      <c r="A82" s="0" t="n">
        <v>21.83</v>
      </c>
      <c r="B82" s="0" t="n">
        <v>0.048477</v>
      </c>
    </row>
    <row r="83" customFormat="false" ht="15" hidden="false" customHeight="false" outlineLevel="0" collapsed="false">
      <c r="A83" s="0" t="n">
        <v>22.11</v>
      </c>
      <c r="B83" s="0" t="n">
        <v>0.050082</v>
      </c>
    </row>
    <row r="84" customFormat="false" ht="15" hidden="false" customHeight="false" outlineLevel="0" collapsed="false">
      <c r="A84" s="0" t="n">
        <v>22.39</v>
      </c>
      <c r="B84" s="0" t="n">
        <v>0.051636</v>
      </c>
    </row>
    <row r="85" customFormat="false" ht="15" hidden="false" customHeight="false" outlineLevel="0" collapsed="false">
      <c r="A85" s="0" t="n">
        <v>22.66</v>
      </c>
      <c r="B85" s="0" t="n">
        <v>0.053133</v>
      </c>
    </row>
    <row r="86" customFormat="false" ht="15" hidden="false" customHeight="false" outlineLevel="0" collapsed="false">
      <c r="A86" s="0" t="n">
        <v>22.94</v>
      </c>
      <c r="B86" s="0" t="n">
        <v>0.054565</v>
      </c>
    </row>
    <row r="87" customFormat="false" ht="15" hidden="false" customHeight="false" outlineLevel="0" collapsed="false">
      <c r="A87" s="0" t="n">
        <v>23.22</v>
      </c>
      <c r="B87" s="0" t="n">
        <v>0.055924</v>
      </c>
    </row>
    <row r="88" customFormat="false" ht="15" hidden="false" customHeight="false" outlineLevel="0" collapsed="false">
      <c r="A88" s="0" t="n">
        <v>23.49</v>
      </c>
      <c r="B88" s="0" t="n">
        <v>0.057203</v>
      </c>
    </row>
    <row r="89" customFormat="false" ht="15" hidden="false" customHeight="false" outlineLevel="0" collapsed="false">
      <c r="A89" s="0" t="n">
        <v>23.77</v>
      </c>
      <c r="B89" s="0" t="n">
        <v>0.058396</v>
      </c>
      <c r="E89" s="0" t="n">
        <v>0.058396</v>
      </c>
    </row>
    <row r="90" customFormat="false" ht="15" hidden="false" customHeight="false" outlineLevel="0" collapsed="false">
      <c r="A90" s="0" t="n">
        <v>24.05</v>
      </c>
      <c r="B90" s="0" t="n">
        <v>0.059495</v>
      </c>
      <c r="E90" s="0" t="n">
        <v>0.059495</v>
      </c>
    </row>
    <row r="91" customFormat="false" ht="15" hidden="false" customHeight="false" outlineLevel="0" collapsed="false">
      <c r="A91" s="0" t="n">
        <v>24.32</v>
      </c>
      <c r="B91" s="0" t="n">
        <v>0.060494</v>
      </c>
    </row>
    <row r="92" customFormat="false" ht="15" hidden="false" customHeight="false" outlineLevel="0" collapsed="false">
      <c r="A92" s="0" t="n">
        <v>24.6</v>
      </c>
      <c r="B92" s="0" t="n">
        <v>0.061388</v>
      </c>
    </row>
    <row r="93" customFormat="false" ht="15" hidden="false" customHeight="false" outlineLevel="0" collapsed="false">
      <c r="A93" s="0" t="n">
        <v>24.87</v>
      </c>
      <c r="B93" s="0" t="n">
        <v>0.062171</v>
      </c>
    </row>
    <row r="94" customFormat="false" ht="15" hidden="false" customHeight="false" outlineLevel="0" collapsed="false">
      <c r="A94" s="0" t="n">
        <v>25.15</v>
      </c>
      <c r="B94" s="0" t="n">
        <v>0.06284</v>
      </c>
    </row>
    <row r="95" customFormat="false" ht="15" hidden="false" customHeight="false" outlineLevel="0" collapsed="false">
      <c r="A95" s="0" t="n">
        <v>25.43</v>
      </c>
      <c r="B95" s="0" t="n">
        <v>0.063389</v>
      </c>
    </row>
    <row r="96" customFormat="false" ht="15" hidden="false" customHeight="false" outlineLevel="0" collapsed="false">
      <c r="A96" s="0" t="n">
        <v>25.7</v>
      </c>
      <c r="B96" s="0" t="n">
        <v>0.063817</v>
      </c>
    </row>
    <row r="97" customFormat="false" ht="15" hidden="false" customHeight="false" outlineLevel="0" collapsed="false">
      <c r="A97" s="0" t="n">
        <v>25.98</v>
      </c>
      <c r="B97" s="0" t="n">
        <v>0.06412</v>
      </c>
    </row>
    <row r="98" customFormat="false" ht="15" hidden="false" customHeight="false" outlineLevel="0" collapsed="false">
      <c r="A98" s="0" t="n">
        <v>26.26</v>
      </c>
      <c r="B98" s="0" t="n">
        <v>0.064296</v>
      </c>
      <c r="F98" s="0" t="n">
        <v>0.064296</v>
      </c>
    </row>
    <row r="99" customFormat="false" ht="15" hidden="false" customHeight="false" outlineLevel="0" collapsed="false">
      <c r="A99" s="0" t="n">
        <v>26.53</v>
      </c>
      <c r="B99" s="0" t="n">
        <v>0.064345</v>
      </c>
      <c r="F99" s="0" t="n">
        <v>0.064345</v>
      </c>
    </row>
    <row r="100" customFormat="false" ht="15" hidden="false" customHeight="false" outlineLevel="0" collapsed="false">
      <c r="A100" s="0" t="n">
        <v>26.81</v>
      </c>
      <c r="B100" s="0" t="n">
        <v>0.064266</v>
      </c>
    </row>
    <row r="101" customFormat="false" ht="15" hidden="false" customHeight="false" outlineLevel="0" collapsed="false">
      <c r="A101" s="0" t="n">
        <v>27.09</v>
      </c>
      <c r="B101" s="0" t="n">
        <v>0.064059</v>
      </c>
    </row>
    <row r="102" customFormat="false" ht="15" hidden="false" customHeight="false" outlineLevel="0" collapsed="false">
      <c r="A102" s="0" t="n">
        <v>27.36</v>
      </c>
      <c r="B102" s="0" t="n">
        <v>0.063727</v>
      </c>
    </row>
    <row r="103" customFormat="false" ht="15" hidden="false" customHeight="false" outlineLevel="0" collapsed="false">
      <c r="A103" s="0" t="n">
        <v>27.64</v>
      </c>
      <c r="B103" s="0" t="n">
        <v>0.06327</v>
      </c>
    </row>
    <row r="104" customFormat="false" ht="15" hidden="false" customHeight="false" outlineLevel="0" collapsed="false">
      <c r="A104" s="0" t="n">
        <v>27.91</v>
      </c>
      <c r="B104" s="0" t="n">
        <v>0.062692</v>
      </c>
    </row>
    <row r="105" customFormat="false" ht="15" hidden="false" customHeight="false" outlineLevel="0" collapsed="false">
      <c r="A105" s="0" t="n">
        <v>28.19</v>
      </c>
      <c r="B105" s="0" t="n">
        <v>0.061996</v>
      </c>
    </row>
    <row r="106" customFormat="false" ht="15" hidden="false" customHeight="false" outlineLevel="0" collapsed="false">
      <c r="A106" s="0" t="n">
        <v>28.47</v>
      </c>
      <c r="B106" s="0" t="n">
        <v>0.061186</v>
      </c>
    </row>
    <row r="107" customFormat="false" ht="15" hidden="false" customHeight="false" outlineLevel="0" collapsed="false">
      <c r="A107" s="0" t="n">
        <v>28.74</v>
      </c>
      <c r="B107" s="0" t="n">
        <v>0.060267</v>
      </c>
    </row>
    <row r="108" customFormat="false" ht="15" hidden="false" customHeight="false" outlineLevel="0" collapsed="false">
      <c r="A108" s="0" t="n">
        <v>29.02</v>
      </c>
      <c r="B108" s="0" t="n">
        <v>0.059244</v>
      </c>
    </row>
    <row r="109" customFormat="false" ht="15" hidden="false" customHeight="false" outlineLevel="0" collapsed="false">
      <c r="A109" s="0" t="n">
        <v>29.3</v>
      </c>
      <c r="B109" s="0" t="n">
        <v>0.058122</v>
      </c>
    </row>
    <row r="110" customFormat="false" ht="15" hidden="false" customHeight="false" outlineLevel="0" collapsed="false">
      <c r="A110" s="0" t="n">
        <v>29.57</v>
      </c>
      <c r="B110" s="0" t="n">
        <v>0.056909</v>
      </c>
    </row>
    <row r="111" customFormat="false" ht="15" hidden="false" customHeight="false" outlineLevel="0" collapsed="false">
      <c r="A111" s="0" t="n">
        <v>29.85</v>
      </c>
      <c r="B111" s="0" t="n">
        <v>0.05561</v>
      </c>
    </row>
    <row r="112" customFormat="false" ht="15" hidden="false" customHeight="false" outlineLevel="0" collapsed="false">
      <c r="A112" s="0" t="n">
        <v>30.13</v>
      </c>
      <c r="B112" s="0" t="n">
        <v>0.054233</v>
      </c>
    </row>
    <row r="113" customFormat="false" ht="15" hidden="false" customHeight="false" outlineLevel="0" collapsed="false">
      <c r="A113" s="0" t="n">
        <v>30.4</v>
      </c>
      <c r="B113" s="0" t="n">
        <v>0.052785</v>
      </c>
    </row>
    <row r="114" customFormat="false" ht="15" hidden="false" customHeight="false" outlineLevel="0" collapsed="false">
      <c r="A114" s="0" t="n">
        <v>30.68</v>
      </c>
      <c r="B114" s="0" t="n">
        <v>0.051273</v>
      </c>
    </row>
    <row r="115" customFormat="false" ht="15" hidden="false" customHeight="false" outlineLevel="0" collapsed="false">
      <c r="A115" s="0" t="n">
        <v>30.95</v>
      </c>
      <c r="B115" s="0" t="n">
        <v>0.049707</v>
      </c>
    </row>
    <row r="116" customFormat="false" ht="15" hidden="false" customHeight="false" outlineLevel="0" collapsed="false">
      <c r="A116" s="0" t="n">
        <v>31.23</v>
      </c>
      <c r="B116" s="0" t="n">
        <v>0.048092</v>
      </c>
    </row>
    <row r="117" customFormat="false" ht="15" hidden="false" customHeight="false" outlineLevel="0" collapsed="false">
      <c r="A117" s="0" t="n">
        <v>31.51</v>
      </c>
      <c r="B117" s="0" t="n">
        <v>0.046437</v>
      </c>
    </row>
    <row r="118" customFormat="false" ht="15" hidden="false" customHeight="false" outlineLevel="0" collapsed="false">
      <c r="A118" s="0" t="n">
        <v>31.78</v>
      </c>
      <c r="B118" s="0" t="n">
        <v>0.044751</v>
      </c>
    </row>
    <row r="119" customFormat="false" ht="15" hidden="false" customHeight="false" outlineLevel="0" collapsed="false">
      <c r="A119" s="0" t="n">
        <v>32.06</v>
      </c>
      <c r="B119" s="0" t="n">
        <v>0.04304</v>
      </c>
    </row>
    <row r="120" customFormat="false" ht="15" hidden="false" customHeight="false" outlineLevel="0" collapsed="false">
      <c r="A120" s="0" t="n">
        <v>32.34</v>
      </c>
      <c r="B120" s="0" t="n">
        <v>0.041312</v>
      </c>
    </row>
    <row r="121" customFormat="false" ht="15" hidden="false" customHeight="false" outlineLevel="0" collapsed="false">
      <c r="A121" s="0" t="n">
        <v>32.61</v>
      </c>
      <c r="B121" s="0" t="n">
        <v>0.039575</v>
      </c>
    </row>
    <row r="122" customFormat="false" ht="15" hidden="false" customHeight="false" outlineLevel="0" collapsed="false">
      <c r="A122" s="0" t="n">
        <v>32.89</v>
      </c>
      <c r="B122" s="0" t="n">
        <v>0.037835</v>
      </c>
    </row>
    <row r="123" customFormat="false" ht="15" hidden="false" customHeight="false" outlineLevel="0" collapsed="false">
      <c r="A123" s="0" t="n">
        <v>33.17</v>
      </c>
      <c r="B123" s="0" t="n">
        <v>0.036101</v>
      </c>
    </row>
    <row r="124" customFormat="false" ht="15" hidden="false" customHeight="false" outlineLevel="0" collapsed="false">
      <c r="A124" s="0" t="n">
        <v>33.44</v>
      </c>
      <c r="B124" s="0" t="n">
        <v>0.034377</v>
      </c>
    </row>
    <row r="125" customFormat="false" ht="15" hidden="false" customHeight="false" outlineLevel="0" collapsed="false">
      <c r="A125" s="0" t="n">
        <v>33.72</v>
      </c>
      <c r="B125" s="0" t="n">
        <v>0.032671</v>
      </c>
    </row>
    <row r="126" customFormat="false" ht="15" hidden="false" customHeight="false" outlineLevel="0" collapsed="false">
      <c r="A126" s="0" t="n">
        <v>33.99</v>
      </c>
      <c r="B126" s="0" t="n">
        <v>0.030988</v>
      </c>
    </row>
    <row r="127" customFormat="false" ht="15" hidden="false" customHeight="false" outlineLevel="0" collapsed="false">
      <c r="A127" s="0" t="n">
        <v>34.27</v>
      </c>
      <c r="B127" s="0" t="n">
        <v>0.029333</v>
      </c>
    </row>
    <row r="128" customFormat="false" ht="15" hidden="false" customHeight="false" outlineLevel="0" collapsed="false">
      <c r="A128" s="0" t="n">
        <v>34.55</v>
      </c>
      <c r="B128" s="0" t="n">
        <v>0.027711</v>
      </c>
    </row>
    <row r="129" customFormat="false" ht="15" hidden="false" customHeight="false" outlineLevel="0" collapsed="false">
      <c r="A129" s="0" t="n">
        <v>34.82</v>
      </c>
      <c r="B129" s="0" t="n">
        <v>0.026127</v>
      </c>
    </row>
    <row r="130" customFormat="false" ht="15" hidden="false" customHeight="false" outlineLevel="0" collapsed="false">
      <c r="A130" s="0" t="n">
        <v>35.1</v>
      </c>
      <c r="B130" s="0" t="n">
        <v>0.024585</v>
      </c>
    </row>
    <row r="131" customFormat="false" ht="15" hidden="false" customHeight="false" outlineLevel="0" collapsed="false">
      <c r="A131" s="0" t="n">
        <v>35.38</v>
      </c>
      <c r="B131" s="0" t="n">
        <v>0.023088</v>
      </c>
    </row>
    <row r="132" customFormat="false" ht="15" hidden="false" customHeight="false" outlineLevel="0" collapsed="false">
      <c r="A132" s="0" t="n">
        <v>35.65</v>
      </c>
      <c r="B132" s="0" t="n">
        <v>0.021639</v>
      </c>
    </row>
    <row r="133" customFormat="false" ht="15" hidden="false" customHeight="false" outlineLevel="0" collapsed="false">
      <c r="A133" s="0" t="n">
        <v>35.93</v>
      </c>
      <c r="B133" s="0" t="n">
        <v>0.02024</v>
      </c>
    </row>
    <row r="134" customFormat="false" ht="15" hidden="false" customHeight="false" outlineLevel="0" collapsed="false">
      <c r="A134" s="0" t="n">
        <v>36.21</v>
      </c>
      <c r="B134" s="0" t="n">
        <v>0.018895</v>
      </c>
    </row>
    <row r="135" customFormat="false" ht="15" hidden="false" customHeight="false" outlineLevel="0" collapsed="false">
      <c r="A135" s="0" t="n">
        <v>36.48</v>
      </c>
      <c r="B135" s="0" t="n">
        <v>0.017604</v>
      </c>
    </row>
    <row r="136" customFormat="false" ht="15" hidden="false" customHeight="false" outlineLevel="0" collapsed="false">
      <c r="A136" s="0" t="n">
        <v>36.76</v>
      </c>
      <c r="B136" s="0" t="n">
        <v>0.016368</v>
      </c>
    </row>
    <row r="137" customFormat="false" ht="15" hidden="false" customHeight="false" outlineLevel="0" collapsed="false">
      <c r="A137" s="0" t="n">
        <v>37.04</v>
      </c>
      <c r="B137" s="0" t="n">
        <v>0.015189</v>
      </c>
    </row>
    <row r="138" customFormat="false" ht="15" hidden="false" customHeight="false" outlineLevel="0" collapsed="false">
      <c r="A138" s="0" t="n">
        <v>37.31</v>
      </c>
      <c r="B138" s="0" t="n">
        <v>0.014067</v>
      </c>
    </row>
    <row r="139" customFormat="false" ht="15" hidden="false" customHeight="false" outlineLevel="0" collapsed="false">
      <c r="A139" s="0" t="n">
        <v>37.59</v>
      </c>
      <c r="B139" s="0" t="n">
        <v>0.013002</v>
      </c>
    </row>
    <row r="140" customFormat="false" ht="15" hidden="false" customHeight="false" outlineLevel="0" collapsed="false">
      <c r="A140" s="0" t="n">
        <v>37.86</v>
      </c>
      <c r="B140" s="0" t="n">
        <v>0.011994</v>
      </c>
    </row>
    <row r="141" customFormat="false" ht="15" hidden="false" customHeight="false" outlineLevel="0" collapsed="false">
      <c r="A141" s="0" t="n">
        <v>38.14</v>
      </c>
      <c r="B141" s="0" t="n">
        <v>0.011042</v>
      </c>
    </row>
    <row r="142" customFormat="false" ht="15" hidden="false" customHeight="false" outlineLevel="0" collapsed="false">
      <c r="A142" s="0" t="n">
        <v>38.42</v>
      </c>
      <c r="B142" s="0" t="n">
        <v>0.010145</v>
      </c>
    </row>
    <row r="143" customFormat="false" ht="15" hidden="false" customHeight="false" outlineLevel="0" collapsed="false">
      <c r="A143" s="0" t="n">
        <v>38.69</v>
      </c>
      <c r="B143" s="0" t="n">
        <v>0.009303</v>
      </c>
    </row>
    <row r="144" customFormat="false" ht="15" hidden="false" customHeight="false" outlineLevel="0" collapsed="false">
      <c r="A144" s="0" t="n">
        <v>38.97</v>
      </c>
      <c r="B144" s="0" t="n">
        <v>0.008514</v>
      </c>
    </row>
    <row r="145" customFormat="false" ht="15" hidden="false" customHeight="false" outlineLevel="0" collapsed="false">
      <c r="A145" s="0" t="n">
        <v>39.25</v>
      </c>
      <c r="B145" s="0" t="n">
        <v>0.007776</v>
      </c>
    </row>
    <row r="146" customFormat="false" ht="15" hidden="false" customHeight="false" outlineLevel="0" collapsed="false">
      <c r="A146" s="0" t="n">
        <v>39.52</v>
      </c>
      <c r="B146" s="0" t="n">
        <v>0.007088</v>
      </c>
    </row>
    <row r="147" customFormat="false" ht="15" hidden="false" customHeight="false" outlineLevel="0" collapsed="false">
      <c r="A147" s="0" t="n">
        <v>39.8</v>
      </c>
      <c r="B147" s="0" t="n">
        <v>0.006448</v>
      </c>
    </row>
    <row r="148" customFormat="false" ht="15" hidden="false" customHeight="false" outlineLevel="0" collapsed="false">
      <c r="A148" s="0" t="n">
        <v>40.08</v>
      </c>
      <c r="B148" s="0" t="n">
        <v>0.005854</v>
      </c>
    </row>
    <row r="149" customFormat="false" ht="15" hidden="false" customHeight="false" outlineLevel="0" collapsed="false">
      <c r="A149" s="0" t="n">
        <v>40.35</v>
      </c>
      <c r="B149" s="0" t="n">
        <v>0.005304</v>
      </c>
    </row>
    <row r="150" customFormat="false" ht="15" hidden="false" customHeight="false" outlineLevel="0" collapsed="false">
      <c r="A150" s="0" t="n">
        <v>40.63</v>
      </c>
      <c r="B150" s="0" t="n">
        <v>0.004797</v>
      </c>
    </row>
    <row r="151" customFormat="false" ht="15" hidden="false" customHeight="false" outlineLevel="0" collapsed="false">
      <c r="A151" s="0" t="n">
        <v>40.9</v>
      </c>
      <c r="B151" s="0" t="n">
        <v>0.004329</v>
      </c>
    </row>
    <row r="152" customFormat="false" ht="15" hidden="false" customHeight="false" outlineLevel="0" collapsed="false">
      <c r="A152" s="0" t="n">
        <v>41.18</v>
      </c>
      <c r="B152" s="0" t="n">
        <v>0.003899</v>
      </c>
    </row>
    <row r="153" customFormat="false" ht="15" hidden="false" customHeight="false" outlineLevel="0" collapsed="false">
      <c r="A153" s="0" t="n">
        <v>41.46</v>
      </c>
      <c r="B153" s="0" t="n">
        <v>0.003505</v>
      </c>
    </row>
    <row r="154" customFormat="false" ht="15" hidden="false" customHeight="false" outlineLevel="0" collapsed="false">
      <c r="A154" s="0" t="n">
        <v>41.73</v>
      </c>
      <c r="B154" s="0" t="n">
        <v>0.003145</v>
      </c>
    </row>
    <row r="155" customFormat="false" ht="15" hidden="false" customHeight="false" outlineLevel="0" collapsed="false">
      <c r="A155" s="0" t="n">
        <v>42.01</v>
      </c>
      <c r="B155" s="0" t="n">
        <v>0.002816</v>
      </c>
    </row>
    <row r="156" customFormat="false" ht="15" hidden="false" customHeight="false" outlineLevel="0" collapsed="false">
      <c r="A156" s="0" t="n">
        <v>42.29</v>
      </c>
      <c r="B156" s="0" t="n">
        <v>0.002516</v>
      </c>
    </row>
    <row r="157" customFormat="false" ht="15" hidden="false" customHeight="false" outlineLevel="0" collapsed="false">
      <c r="A157" s="0" t="n">
        <v>42.56</v>
      </c>
      <c r="B157" s="0" t="n">
        <v>0.002244</v>
      </c>
    </row>
    <row r="158" customFormat="false" ht="15" hidden="false" customHeight="false" outlineLevel="0" collapsed="false">
      <c r="A158" s="0" t="n">
        <v>42.84</v>
      </c>
      <c r="B158" s="0" t="n">
        <v>0.001997</v>
      </c>
    </row>
    <row r="159" customFormat="false" ht="15" hidden="false" customHeight="false" outlineLevel="0" collapsed="false">
      <c r="A159" s="0" t="n">
        <v>43.12</v>
      </c>
      <c r="B159" s="0" t="n">
        <v>0.001774</v>
      </c>
    </row>
    <row r="160" customFormat="false" ht="15" hidden="false" customHeight="false" outlineLevel="0" collapsed="false">
      <c r="A160" s="0" t="n">
        <v>43.39</v>
      </c>
      <c r="B160" s="0" t="n">
        <v>0.001573</v>
      </c>
    </row>
    <row r="161" customFormat="false" ht="15" hidden="false" customHeight="false" outlineLevel="0" collapsed="false">
      <c r="A161" s="0" t="n">
        <v>43.67</v>
      </c>
      <c r="B161" s="0" t="n">
        <v>0.001391</v>
      </c>
    </row>
    <row r="162" customFormat="false" ht="15" hidden="false" customHeight="false" outlineLevel="0" collapsed="false">
      <c r="A162" s="0" t="n">
        <v>43.94</v>
      </c>
      <c r="B162" s="0" t="n">
        <v>0.001229</v>
      </c>
    </row>
    <row r="163" customFormat="false" ht="15" hidden="false" customHeight="false" outlineLevel="0" collapsed="false">
      <c r="A163" s="0" t="n">
        <v>44.22</v>
      </c>
      <c r="B163" s="0" t="n">
        <v>0.001083</v>
      </c>
    </row>
    <row r="164" customFormat="false" ht="15" hidden="false" customHeight="false" outlineLevel="0" collapsed="false">
      <c r="A164" s="0" t="n">
        <v>44.5</v>
      </c>
      <c r="B164" s="0" t="n">
        <v>0.000952</v>
      </c>
    </row>
    <row r="165" customFormat="false" ht="15" hidden="false" customHeight="false" outlineLevel="0" collapsed="false">
      <c r="A165" s="0" t="n">
        <v>44.77</v>
      </c>
      <c r="B165" s="0" t="n">
        <v>0.000836</v>
      </c>
    </row>
    <row r="166" customFormat="false" ht="15" hidden="false" customHeight="false" outlineLevel="0" collapsed="false">
      <c r="A166" s="0" t="n">
        <v>45.05</v>
      </c>
      <c r="B166" s="0" t="n">
        <v>0.000732</v>
      </c>
    </row>
    <row r="167" customFormat="false" ht="15" hidden="false" customHeight="false" outlineLevel="0" collapsed="false">
      <c r="A167" s="0" t="n">
        <v>45.33</v>
      </c>
      <c r="B167" s="0" t="n">
        <v>0.00064</v>
      </c>
    </row>
    <row r="168" customFormat="false" ht="15" hidden="false" customHeight="false" outlineLevel="0" collapsed="false">
      <c r="A168" s="0" t="n">
        <v>45.6</v>
      </c>
      <c r="B168" s="0" t="n">
        <v>0.000559</v>
      </c>
    </row>
    <row r="169" customFormat="false" ht="15" hidden="false" customHeight="false" outlineLevel="0" collapsed="false">
      <c r="A169" s="0" t="n">
        <v>45.88</v>
      </c>
      <c r="B169" s="0" t="n">
        <v>0.000486</v>
      </c>
    </row>
    <row r="170" customFormat="false" ht="15" hidden="false" customHeight="false" outlineLevel="0" collapsed="false">
      <c r="A170" s="0" t="n">
        <v>46.16</v>
      </c>
      <c r="B170" s="0" t="n">
        <v>0.000423</v>
      </c>
    </row>
    <row r="171" customFormat="false" ht="15" hidden="false" customHeight="false" outlineLevel="0" collapsed="false">
      <c r="A171" s="0" t="n">
        <v>46.43</v>
      </c>
      <c r="B171" s="0" t="n">
        <v>0.000367</v>
      </c>
    </row>
    <row r="172" customFormat="false" ht="15" hidden="false" customHeight="false" outlineLevel="0" collapsed="false">
      <c r="A172" s="0" t="n">
        <v>46.71</v>
      </c>
      <c r="B172" s="0" t="n">
        <v>0.000317</v>
      </c>
    </row>
    <row r="173" customFormat="false" ht="15" hidden="false" customHeight="false" outlineLevel="0" collapsed="false">
      <c r="A173" s="0" t="n">
        <v>46.98</v>
      </c>
      <c r="B173" s="0" t="n">
        <v>0.000274</v>
      </c>
    </row>
    <row r="174" customFormat="false" ht="15" hidden="false" customHeight="false" outlineLevel="0" collapsed="false">
      <c r="A174" s="0" t="n">
        <v>47.26</v>
      </c>
      <c r="B174" s="0" t="n">
        <v>0.000236</v>
      </c>
    </row>
    <row r="175" customFormat="false" ht="15" hidden="false" customHeight="false" outlineLevel="0" collapsed="false">
      <c r="A175" s="0" t="n">
        <v>47.54</v>
      </c>
      <c r="B175" s="0" t="n">
        <v>0.000203</v>
      </c>
    </row>
    <row r="176" customFormat="false" ht="15" hidden="false" customHeight="false" outlineLevel="0" collapsed="false">
      <c r="A176" s="0" t="n">
        <v>47.81</v>
      </c>
      <c r="B176" s="0" t="n">
        <v>0.000175</v>
      </c>
      <c r="D176" s="0" t="n">
        <v>0.000175</v>
      </c>
    </row>
    <row r="177" customFormat="false" ht="15" hidden="false" customHeight="false" outlineLevel="0" collapsed="false">
      <c r="A177" s="0" t="n">
        <v>48.09</v>
      </c>
      <c r="B177" s="0" t="n">
        <v>0.00015</v>
      </c>
      <c r="D177" s="0" t="n">
        <v>0.00015</v>
      </c>
    </row>
    <row r="178" customFormat="false" ht="15" hidden="false" customHeight="false" outlineLevel="0" collapsed="false">
      <c r="A178" s="0" t="n">
        <v>48.37</v>
      </c>
      <c r="B178" s="0" t="n">
        <v>0.000128</v>
      </c>
    </row>
    <row r="179" customFormat="false" ht="15" hidden="false" customHeight="false" outlineLevel="0" collapsed="false">
      <c r="A179" s="0" t="n">
        <v>48.64</v>
      </c>
      <c r="B179" s="0" t="n">
        <v>0.000109</v>
      </c>
    </row>
    <row r="180" customFormat="false" ht="15" hidden="false" customHeight="false" outlineLevel="0" collapsed="false">
      <c r="A180" s="0" t="n">
        <v>48.92</v>
      </c>
      <c r="B180" s="0" t="n">
        <v>9.3E-005</v>
      </c>
    </row>
    <row r="181" customFormat="false" ht="15" hidden="false" customHeight="false" outlineLevel="0" collapsed="false">
      <c r="A181" s="0" t="n">
        <v>49.2</v>
      </c>
      <c r="B181" s="0" t="n">
        <v>7.9E-005</v>
      </c>
    </row>
    <row r="182" customFormat="false" ht="15" hidden="false" customHeight="false" outlineLevel="0" collapsed="false">
      <c r="A182" s="0" t="n">
        <v>49.47</v>
      </c>
      <c r="B182" s="0" t="n">
        <v>6.7E-005</v>
      </c>
    </row>
    <row r="183" customFormat="false" ht="15" hidden="false" customHeight="false" outlineLevel="0" collapsed="false">
      <c r="A183" s="0" t="n">
        <v>49.75</v>
      </c>
      <c r="B183" s="0" t="n">
        <v>5.7E-005</v>
      </c>
    </row>
    <row r="184" customFormat="false" ht="15" hidden="false" customHeight="false" outlineLevel="0" collapsed="false">
      <c r="A184" s="0" t="n">
        <v>50.03</v>
      </c>
      <c r="B184" s="0" t="n">
        <v>4.8E-005</v>
      </c>
    </row>
    <row r="185" customFormat="false" ht="15" hidden="false" customHeight="false" outlineLevel="0" collapsed="false">
      <c r="A185" s="0" t="n">
        <v>50.3</v>
      </c>
      <c r="B185" s="0" t="n">
        <v>4.1E-005</v>
      </c>
    </row>
    <row r="186" customFormat="false" ht="15" hidden="false" customHeight="false" outlineLevel="0" collapsed="false">
      <c r="A186" s="0" t="n">
        <v>50.58</v>
      </c>
      <c r="B186" s="0" t="n">
        <v>3.4E-005</v>
      </c>
    </row>
    <row r="187" customFormat="false" ht="15" hidden="false" customHeight="false" outlineLevel="0" collapsed="false">
      <c r="A187" s="0" t="n">
        <v>50.85</v>
      </c>
      <c r="B187" s="0" t="n">
        <v>2.9E-005</v>
      </c>
    </row>
    <row r="188" customFormat="false" ht="15" hidden="false" customHeight="false" outlineLevel="0" collapsed="false">
      <c r="A188" s="0" t="n">
        <v>51.13</v>
      </c>
      <c r="B188" s="0" t="n">
        <v>2.4E-005</v>
      </c>
    </row>
    <row r="189" customFormat="false" ht="15" hidden="false" customHeight="false" outlineLevel="0" collapsed="false">
      <c r="A189" s="0" t="n">
        <v>51.41</v>
      </c>
      <c r="B189" s="0" t="n">
        <v>2E-005</v>
      </c>
    </row>
    <row r="190" customFormat="false" ht="15" hidden="false" customHeight="false" outlineLevel="0" collapsed="false">
      <c r="A190" s="0" t="n">
        <v>51.68</v>
      </c>
      <c r="B190" s="0" t="n">
        <v>1.7E-005</v>
      </c>
    </row>
    <row r="191" customFormat="false" ht="15" hidden="false" customHeight="false" outlineLevel="0" collapsed="false">
      <c r="A191" s="0" t="n">
        <v>51.96</v>
      </c>
      <c r="B191" s="0" t="n">
        <v>1.4E-005</v>
      </c>
    </row>
    <row r="192" customFormat="false" ht="15" hidden="false" customHeight="false" outlineLevel="0" collapsed="false">
      <c r="A192" s="0" t="n">
        <v>52.24</v>
      </c>
      <c r="B192" s="0" t="n">
        <v>1.2E-005</v>
      </c>
    </row>
    <row r="193" customFormat="false" ht="15" hidden="false" customHeight="false" outlineLevel="0" collapsed="false">
      <c r="A193" s="0" t="n">
        <v>52.51</v>
      </c>
      <c r="B193" s="0" t="n">
        <v>1E-005</v>
      </c>
    </row>
    <row r="194" customFormat="false" ht="15" hidden="false" customHeight="false" outlineLevel="0" collapsed="false">
      <c r="A194" s="0" t="n">
        <v>52.79</v>
      </c>
      <c r="B194" s="0" t="n">
        <v>8E-006</v>
      </c>
    </row>
    <row r="195" customFormat="false" ht="15" hidden="false" customHeight="false" outlineLevel="0" collapsed="false">
      <c r="A195" s="0" t="n">
        <v>53.07</v>
      </c>
      <c r="B195" s="0" t="n">
        <v>7E-006</v>
      </c>
    </row>
    <row r="196" customFormat="false" ht="15" hidden="false" customHeight="false" outlineLevel="0" collapsed="false">
      <c r="A196" s="0" t="n">
        <v>53.34</v>
      </c>
      <c r="B196" s="0" t="n">
        <v>5E-006</v>
      </c>
    </row>
    <row r="197" customFormat="false" ht="15" hidden="false" customHeight="false" outlineLevel="0" collapsed="false">
      <c r="A197" s="0" t="n">
        <v>53.62</v>
      </c>
      <c r="B197" s="0" t="n">
        <v>5E-006</v>
      </c>
    </row>
    <row r="198" customFormat="false" ht="15" hidden="false" customHeight="false" outlineLevel="0" collapsed="false">
      <c r="A198" s="0" t="n">
        <v>53.89</v>
      </c>
      <c r="B198" s="0" t="n">
        <v>4E-006</v>
      </c>
    </row>
    <row r="199" customFormat="false" ht="15" hidden="false" customHeight="false" outlineLevel="0" collapsed="false">
      <c r="A199" s="0" t="n">
        <v>54.17</v>
      </c>
      <c r="B199" s="0" t="n">
        <v>3E-006</v>
      </c>
    </row>
    <row r="200" customFormat="false" ht="15" hidden="false" customHeight="false" outlineLevel="0" collapsed="false">
      <c r="A200" s="0" t="n">
        <v>54.45</v>
      </c>
      <c r="B200" s="0" t="n">
        <v>2E-006</v>
      </c>
    </row>
    <row r="201" customFormat="false" ht="15" hidden="false" customHeight="false" outlineLevel="0" collapsed="false">
      <c r="A201" s="0" t="n">
        <v>54.72</v>
      </c>
      <c r="B201" s="0" t="n">
        <v>2E-006</v>
      </c>
    </row>
    <row r="202" customFormat="false" ht="15" hidden="false" customHeight="false" outlineLevel="0" collapsed="false">
      <c r="A202" s="0" t="n">
        <v>55</v>
      </c>
      <c r="B202" s="0" t="n">
        <v>2E-006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3" t="s">
        <v>66</v>
      </c>
      <c r="B1" s="3"/>
    </row>
    <row r="2" customFormat="false" ht="15" hidden="false" customHeight="false" outlineLevel="0" collapsed="false">
      <c r="A2" s="23" t="s">
        <v>11</v>
      </c>
      <c r="B2" s="23" t="s">
        <v>14</v>
      </c>
      <c r="C2" s="24" t="s">
        <v>67</v>
      </c>
      <c r="D2" s="24" t="s">
        <v>68</v>
      </c>
    </row>
    <row r="3" customFormat="false" ht="15" hidden="false" customHeight="false" outlineLevel="0" collapsed="false">
      <c r="A3" s="9" t="s">
        <v>16</v>
      </c>
      <c r="B3" s="10" t="n">
        <v>0.9677</v>
      </c>
      <c r="C3" s="25" t="n">
        <v>1.33</v>
      </c>
      <c r="D3" s="25" t="n">
        <v>1</v>
      </c>
    </row>
    <row r="4" customFormat="false" ht="15" hidden="false" customHeight="false" outlineLevel="0" collapsed="false">
      <c r="A4" s="9" t="s">
        <v>18</v>
      </c>
      <c r="B4" s="10" t="n">
        <v>0.7796</v>
      </c>
      <c r="C4" s="25" t="n">
        <v>1.33</v>
      </c>
      <c r="D4" s="25" t="n">
        <v>1</v>
      </c>
    </row>
    <row r="5" customFormat="false" ht="15" hidden="false" customHeight="false" outlineLevel="0" collapsed="false">
      <c r="A5" s="9" t="s">
        <v>20</v>
      </c>
      <c r="B5" s="10" t="n">
        <v>1.1559</v>
      </c>
      <c r="C5" s="25" t="n">
        <v>1.33</v>
      </c>
      <c r="D5" s="25" t="n">
        <v>1</v>
      </c>
    </row>
    <row r="6" customFormat="false" ht="15" hidden="false" customHeight="false" outlineLevel="0" collapsed="false">
      <c r="A6" s="9" t="s">
        <v>22</v>
      </c>
      <c r="B6" s="10" t="n">
        <v>0.7796</v>
      </c>
      <c r="C6" s="25" t="n">
        <v>1.33</v>
      </c>
      <c r="D6" s="25" t="n">
        <v>1</v>
      </c>
    </row>
    <row r="7" customFormat="false" ht="15" hidden="false" customHeight="false" outlineLevel="0" collapsed="false">
      <c r="A7" s="9" t="s">
        <v>69</v>
      </c>
      <c r="B7" s="10" t="n">
        <v>0.8975</v>
      </c>
      <c r="C7" s="25" t="n">
        <v>1.33</v>
      </c>
      <c r="D7" s="25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2026-07-04T14:15:49Z</dcterms:created>
  <dc:creator>openpyxl</dc:creator>
  <dc:description/>
  <dc:language>en-US</dc:language>
  <cp:lastModifiedBy/>
  <dcterms:modified xsi:type="dcterms:W3CDTF">2026-07-04T14:15:56Z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