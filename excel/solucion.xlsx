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Calidad (X-bar - R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5" fillId="3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5" customWidth="1" min="8" max="8"/>
    <col width="18" customWidth="1" min="9" max="9"/>
    <col width="12" customWidth="1" min="10" max="10"/>
    <col width="25" customWidth="1" min="11" max="11"/>
    <col width="12" customWidth="1" min="12" max="12"/>
  </cols>
  <sheetData>
    <row r="1">
      <c r="A1" s="1" t="inlineStr">
        <is>
          <t>CONTROL DE CALIDAD - AMAZON ROBOTICS</t>
        </is>
      </c>
    </row>
    <row r="2">
      <c r="A2" s="2" t="inlineStr">
        <is>
          <t>Evaluación de Estabilidad del Proceso (Peso de Sensores, n = 5)</t>
        </is>
      </c>
    </row>
    <row r="3"/>
    <row r="4">
      <c r="A4" s="3" t="inlineStr">
        <is>
          <t>Subgrupo</t>
        </is>
      </c>
      <c r="B4" s="3" t="inlineStr">
        <is>
          <t>X1 (g)</t>
        </is>
      </c>
      <c r="C4" s="3" t="inlineStr">
        <is>
          <t>X2 (g)</t>
        </is>
      </c>
      <c r="D4" s="3" t="inlineStr">
        <is>
          <t>X3 (g)</t>
        </is>
      </c>
      <c r="E4" s="3" t="inlineStr">
        <is>
          <t>X4 (g)</t>
        </is>
      </c>
      <c r="F4" s="3" t="inlineStr">
        <is>
          <t>X5 (g)</t>
        </is>
      </c>
      <c r="G4" s="3" t="inlineStr">
        <is>
          <t>Media (X-bar)</t>
        </is>
      </c>
      <c r="H4" s="3" t="inlineStr">
        <is>
          <t>Rango (R)</t>
        </is>
      </c>
      <c r="I4" s="3" t="inlineStr">
        <is>
          <t>Desv. Est (S)</t>
        </is>
      </c>
      <c r="K4" s="4" t="inlineStr">
        <is>
          <t>Constantes (n=5)</t>
        </is>
      </c>
      <c r="L4" s="4" t="inlineStr">
        <is>
          <t>Valor</t>
        </is>
      </c>
    </row>
    <row r="5">
      <c r="A5" s="5" t="n">
        <v>1</v>
      </c>
      <c r="B5" s="6" t="n">
        <v>54.8</v>
      </c>
      <c r="C5" s="6" t="n">
        <v>54.9</v>
      </c>
      <c r="D5" s="6" t="n">
        <v>55</v>
      </c>
      <c r="E5" s="6" t="n">
        <v>54.7</v>
      </c>
      <c r="F5" s="6" t="n">
        <v>54.9</v>
      </c>
      <c r="G5" s="6">
        <f>AVERAGE(B5:F5)</f>
        <v/>
      </c>
      <c r="H5" s="6">
        <f>MAX(B5:F5)-MIN(B5:F5)</f>
        <v/>
      </c>
      <c r="I5" s="6">
        <f>STDEV.S(B5:F5)</f>
        <v/>
      </c>
      <c r="K5" s="7" t="inlineStr">
        <is>
          <t>A2</t>
        </is>
      </c>
      <c r="L5" s="8" t="n">
        <v>0.577</v>
      </c>
    </row>
    <row r="6">
      <c r="A6" s="5" t="n">
        <v>2</v>
      </c>
      <c r="B6" s="6" t="n">
        <v>55.1</v>
      </c>
      <c r="C6" s="6" t="n">
        <v>55</v>
      </c>
      <c r="D6" s="6" t="n">
        <v>54.9</v>
      </c>
      <c r="E6" s="6" t="n">
        <v>55.2</v>
      </c>
      <c r="F6" s="6" t="n">
        <v>55.1</v>
      </c>
      <c r="G6" s="6">
        <f>AVERAGE(B6:F6)</f>
        <v/>
      </c>
      <c r="H6" s="6">
        <f>MAX(B6:F6)-MIN(B6:F6)</f>
        <v/>
      </c>
      <c r="I6" s="6">
        <f>STDEV.S(B6:F6)</f>
        <v/>
      </c>
      <c r="K6" s="7" t="inlineStr">
        <is>
          <t>D3</t>
        </is>
      </c>
      <c r="L6" s="8" t="n">
        <v>0</v>
      </c>
    </row>
    <row r="7">
      <c r="A7" s="5" t="n">
        <v>3</v>
      </c>
      <c r="B7" s="6" t="n">
        <v>55.2</v>
      </c>
      <c r="C7" s="6" t="n">
        <v>55.3</v>
      </c>
      <c r="D7" s="6" t="n">
        <v>55.1</v>
      </c>
      <c r="E7" s="6" t="n">
        <v>55.2</v>
      </c>
      <c r="F7" s="6" t="n">
        <v>55.4</v>
      </c>
      <c r="G7" s="6">
        <f>AVERAGE(B7:F7)</f>
        <v/>
      </c>
      <c r="H7" s="6">
        <f>MAX(B7:F7)-MIN(B7:F7)</f>
        <v/>
      </c>
      <c r="I7" s="6">
        <f>STDEV.S(B7:F7)</f>
        <v/>
      </c>
      <c r="K7" s="7" t="inlineStr">
        <is>
          <t>D4</t>
        </is>
      </c>
      <c r="L7" s="8" t="n">
        <v>2.114</v>
      </c>
    </row>
    <row r="8">
      <c r="A8" s="5" t="n">
        <v>4</v>
      </c>
      <c r="B8" s="6" t="n">
        <v>55.5</v>
      </c>
      <c r="C8" s="6" t="n">
        <v>55.4</v>
      </c>
      <c r="D8" s="6" t="n">
        <v>55.6</v>
      </c>
      <c r="E8" s="6" t="n">
        <v>55.5</v>
      </c>
      <c r="F8" s="6" t="n">
        <v>55.4</v>
      </c>
      <c r="G8" s="6">
        <f>AVERAGE(B8:F8)</f>
        <v/>
      </c>
      <c r="H8" s="6">
        <f>MAX(B8:F8)-MIN(B8:F8)</f>
        <v/>
      </c>
      <c r="I8" s="6">
        <f>STDEV.S(B8:F8)</f>
        <v/>
      </c>
      <c r="K8" s="7" t="inlineStr">
        <is>
          <t>A3</t>
        </is>
      </c>
      <c r="L8" s="8" t="n">
        <v>1.427</v>
      </c>
    </row>
    <row r="9">
      <c r="A9" s="5" t="n">
        <v>5</v>
      </c>
      <c r="B9" s="6" t="n">
        <v>55.8</v>
      </c>
      <c r="C9" s="6" t="n">
        <v>55.7</v>
      </c>
      <c r="D9" s="6" t="n">
        <v>55.6</v>
      </c>
      <c r="E9" s="6" t="n">
        <v>55.8</v>
      </c>
      <c r="F9" s="6" t="n">
        <v>55.7</v>
      </c>
      <c r="G9" s="6">
        <f>AVERAGE(B9:F9)</f>
        <v/>
      </c>
      <c r="H9" s="6">
        <f>MAX(B9:F9)-MIN(B9:F9)</f>
        <v/>
      </c>
      <c r="I9" s="6">
        <f>STDEV.S(B9:F9)</f>
        <v/>
      </c>
      <c r="K9" s="7" t="inlineStr">
        <is>
          <t>B3</t>
        </is>
      </c>
      <c r="L9" s="8" t="n">
        <v>0</v>
      </c>
    </row>
    <row r="10">
      <c r="A10" s="9" t="inlineStr">
        <is>
          <t>Promedio</t>
        </is>
      </c>
      <c r="B10" s="10" t="inlineStr"/>
      <c r="C10" s="10" t="inlineStr"/>
      <c r="D10" s="10" t="inlineStr"/>
      <c r="E10" s="10" t="inlineStr"/>
      <c r="F10" s="10" t="inlineStr"/>
      <c r="G10" s="11">
        <f>AVERAGE(G5:G9)</f>
        <v/>
      </c>
      <c r="H10" s="11">
        <f>AVERAGE(H5:H9)</f>
        <v/>
      </c>
      <c r="I10" s="11">
        <f>AVERAGE(I5:I9)</f>
        <v/>
      </c>
      <c r="K10" s="7" t="inlineStr">
        <is>
          <t>B4</t>
        </is>
      </c>
      <c r="L10" s="8" t="n">
        <v>2.089</v>
      </c>
    </row>
    <row r="11"/>
    <row r="12">
      <c r="K12" s="12" t="inlineStr">
        <is>
          <t>LÍMITES DE CONTROL</t>
        </is>
      </c>
    </row>
    <row r="13">
      <c r="K13" s="13" t="inlineStr">
        <is>
          <t>Carta X-bar (Medias)</t>
        </is>
      </c>
    </row>
    <row r="14">
      <c r="K14" s="14" t="inlineStr">
        <is>
          <t>Línea Central (CL)</t>
        </is>
      </c>
      <c r="L14" s="8">
        <f>G10</f>
        <v/>
      </c>
    </row>
    <row r="15">
      <c r="K15" s="14" t="inlineStr">
        <is>
          <t>Límite Control Superior (UCL)</t>
        </is>
      </c>
      <c r="L15" s="15">
        <f>L14+(L5*L10)</f>
        <v/>
      </c>
    </row>
    <row r="16">
      <c r="K16" s="14" t="inlineStr">
        <is>
          <t>Límite Control Inferior (LCL)</t>
        </is>
      </c>
      <c r="L16" s="15">
        <f>L14-(L5*L10)</f>
        <v/>
      </c>
    </row>
    <row r="17"/>
    <row r="18">
      <c r="K18" s="16" t="inlineStr">
        <is>
          <t>Carta R (Rangos)</t>
        </is>
      </c>
      <c r="L18" s="8" t="n"/>
    </row>
    <row r="19">
      <c r="K19" s="14" t="inlineStr">
        <is>
          <t>Línea Central (CL)</t>
        </is>
      </c>
      <c r="L19" s="8">
        <f>H10</f>
        <v/>
      </c>
    </row>
    <row r="20">
      <c r="K20" s="14" t="inlineStr">
        <is>
          <t>Límite Control Superior (UCL)</t>
        </is>
      </c>
      <c r="L20" s="15">
        <f>L7*L19</f>
        <v/>
      </c>
    </row>
    <row r="21">
      <c r="K21" s="14" t="inlineStr">
        <is>
          <t>Límite Control Inferior (LCL)</t>
        </is>
      </c>
      <c r="L21" s="15">
        <f>L6*L19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2026-07-04T03:46:29Z</dcterms:created>
  <dcterms:modified xmlns:dcterms="http://purl.org/dc/terms/" xmlns:xsi="http://www.w3.org/2001/XMLSchema-instance" xsi:type="dcterms:W3CDTF">2026-07-04T03:46:29Z</dcterms:modified>
</cp:coreProperties>
</file>