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isis" sheetId="1" state="visible" r:id="rId3"/>
    <sheet name="Grafica n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<sst xmlns="http://schemas.openxmlformats.org/spreadsheetml/2006/main" count="87" uniqueCount="74">
  <si>
    <t xml:space="preserve">PROBLEMA 4: Analisis critico - Deteccion de errores metodologicos</t>
  </si>
  <si>
    <t xml:space="preserve">Auditoria interna: 15 sucursales | n=100 registros por sucursal | Conteo de discrepancias</t>
  </si>
  <si>
    <t xml:space="preserve">1. POR QUE LA CARTA c ES INCORRECTA AQUI</t>
  </si>
  <si>
    <t xml:space="preserve">CARTA c (INCORRECTA)</t>
  </si>
  <si>
    <t xml:space="preserve">CARTA np (CORRECTA)</t>
  </si>
  <si>
    <t xml:space="preserve">Aspecto</t>
  </si>
  <si>
    <t xml:space="preserve">Carta c</t>
  </si>
  <si>
    <t xml:space="preserve">Carta np</t>
  </si>
  <si>
    <t xml:space="preserve">Que cuenta?</t>
  </si>
  <si>
    <t xml:space="preserve">DEFECTOS por unidad</t>
  </si>
  <si>
    <t xml:space="preserve">UNIDADES DEFECTUOSAS</t>
  </si>
  <si>
    <t xml:space="preserve">Ejemplo</t>
  </si>
  <si>
    <t xml:space="preserve">5 rayones en 1 pieza</t>
  </si>
  <si>
    <t xml:space="preserve">5 registros con error de 100</t>
  </si>
  <si>
    <t xml:space="preserve">Denominador fijo?</t>
  </si>
  <si>
    <t xml:space="preserve">NO hay exito/fracaso</t>
  </si>
  <si>
    <t xml:space="preserve">SI: n=100 (fijo)</t>
  </si>
  <si>
    <t xml:space="preserve">Una unidad puede</t>
  </si>
  <si>
    <t xml:space="preserve">tener 0, 1, 2, 3... defectos</t>
  </si>
  <si>
    <t xml:space="preserve">ser defectuosa o NO (binario)</t>
  </si>
  <si>
    <t xml:space="preserve">Distribucion</t>
  </si>
  <si>
    <t xml:space="preserve">Poisson</t>
  </si>
  <si>
    <t xml:space="preserve">Binomial</t>
  </si>
  <si>
    <t xml:space="preserve">Necesita n?</t>
  </si>
  <si>
    <t xml:space="preserve">NO (solo cuenta defectos)</t>
  </si>
  <si>
    <t xml:space="preserve">SI (n constante requerido)</t>
  </si>
  <si>
    <t xml:space="preserve">Ejemplo real</t>
  </si>
  <si>
    <t xml:space="preserve">Manchas en tela, grietas</t>
  </si>
  <si>
    <t xml:space="preserve">Registros con discrepancia</t>
  </si>
  <si>
    <t xml:space="preserve">ERROR DEL ANALISTA: Confundio 'contar cosas' con carta c.</t>
  </si>
  <si>
    <t xml:space="preserve">Aqui contamos REGISTROS DEFECTUOSOS (binario: tiene o no discrepancia) de n=100 FIJO → Es carta np, NO carta c.</t>
  </si>
  <si>
    <t xml:space="preserve">Carta c seria si contaramos CUANTOS errores tiene CADA registro (un registro podria tener 0, 1, 2, 3 errores).</t>
  </si>
  <si>
    <t xml:space="preserve">2. CARTA np CORRECTA - FORMULAS Y CALCULOS</t>
  </si>
  <si>
    <t xml:space="preserve">n (muestra fija):</t>
  </si>
  <si>
    <t xml:space="preserve">k (sucursales):</t>
  </si>
  <si>
    <t xml:space="preserve">FORMULAS np (Sesion 13)</t>
  </si>
  <si>
    <t xml:space="preserve">p̄ =</t>
  </si>
  <si>
    <t xml:space="preserve">Total defectuosas / Total inspeccionadas</t>
  </si>
  <si>
    <t xml:space="preserve">np̄ =</t>
  </si>
  <si>
    <t xml:space="preserve">Promedio de defectuosas por muestra</t>
  </si>
  <si>
    <t xml:space="preserve">LCS =</t>
  </si>
  <si>
    <t xml:space="preserve">np̄ + 3√(np̄(1 - p̄))</t>
  </si>
  <si>
    <t xml:space="preserve">LC =</t>
  </si>
  <si>
    <t xml:space="preserve">np̄</t>
  </si>
  <si>
    <t xml:space="preserve">LCI =</t>
  </si>
  <si>
    <t xml:space="preserve">np̄ - 3√(np̄(1 - p̄))  (min 0)</t>
  </si>
  <si>
    <t xml:space="preserve">TABLA DE DATOS</t>
  </si>
  <si>
    <t xml:space="preserve">p̄</t>
  </si>
  <si>
    <t xml:space="preserve">Sucursal</t>
  </si>
  <si>
    <t xml:space="preserve">n</t>
  </si>
  <si>
    <t xml:space="preserve">Discrepancias (np)</t>
  </si>
  <si>
    <t xml:space="preserve">LCI</t>
  </si>
  <si>
    <t xml:space="preserve">LC (np̄)</t>
  </si>
  <si>
    <t xml:space="preserve">LCS</t>
  </si>
  <si>
    <t xml:space="preserve">RESULTADOS</t>
  </si>
  <si>
    <t xml:space="preserve">Total discrepancias:</t>
  </si>
  <si>
    <t xml:space="preserve">Total inspeccionados:</t>
  </si>
  <si>
    <t xml:space="preserve">p̄ (proporcion):</t>
  </si>
  <si>
    <t xml:space="preserve">np̄ (promedio defect.):</t>
  </si>
  <si>
    <t xml:space="preserve">LCS:</t>
  </si>
  <si>
    <t xml:space="preserve">LC:</t>
  </si>
  <si>
    <t xml:space="preserve">LCI:</t>
  </si>
  <si>
    <t xml:space="preserve">PATRON QUE ALERTARIA A AUDITORIA</t>
  </si>
  <si>
    <t xml:space="preserve">Un PUNTO FUERA del LCS indicaria un problema SISTEMICO en esa sucursal especifica.</t>
  </si>
  <si>
    <t xml:space="preserve">Ejemplo: Si una sucursal tiene np &gt; LCS, significa que su tasa de discrepancias es</t>
  </si>
  <si>
    <t xml:space="preserve">estadisticamente ANORMAL, no explicable por variacion comun del proceso.</t>
  </si>
  <si>
    <t xml:space="preserve">Otros patrones sospechosos que alertarian a auditoria:</t>
  </si>
  <si>
    <t xml:space="preserve">  - Tendencia creciente: varias sucursales consecutivas con discrepancias subiendo</t>
  </si>
  <si>
    <t xml:space="preserve">  - Corrida: 7+ sucursales consecutivas del mismo lado de la linea central (np̄)</t>
  </si>
  <si>
    <t xml:space="preserve">  - Patron ciclico: alternancia regular que sugiere causa sistematica</t>
  </si>
  <si>
    <t xml:space="preserve">En este caso: TODOS los puntos estan dentro de los limites → Proceso BAJO CONTROL</t>
  </si>
  <si>
    <t xml:space="preserve">La sucursal 8 (9 discrepancias) es la mas alta pero NO supera el LCS → es variacion normal</t>
  </si>
  <si>
    <t xml:space="preserve">GRAFICA np (Numero de unidades defectuosas)</t>
  </si>
  <si>
    <t xml:space="preserve">np (Discrepancias)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</si>
</sst>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.0000"/>
    <numFmt numFmtId="167" formatCode="0.00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C00000"/>
        <bgColor rgb="FF800000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Gráfica np (Discrepancias por sucursal)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'Grafica np'!B2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0070c0"/>
            </a:solidFill>
            <a:ln w="2196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np'!$A$3:$A$17</c:f>
              <c:strCache>
                <c:ptCount val="15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  <c:pt idx="10">
                  <c:v>11.00</c:v>
                </c:pt>
                <c:pt idx="11">
                  <c:v>12.00</c:v>
                </c:pt>
                <c:pt idx="12">
                  <c:v>13.00</c:v>
                </c:pt>
                <c:pt idx="13">
                  <c:v>14.00</c:v>
                </c:pt>
                <c:pt idx="14">
                  <c:v>15.00</c:v>
                </c:pt>
              </c:strCache>
            </c:strRef>
          </c:cat>
          <c:val>
            <c:numRef>
              <c:f>'Grafica np'!$B$3:$B$17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'Grafica np'!C2</c:f>
              <c:strCache>
                <c:ptCount val="1"/>
                <c:pt idx="0">
                  <c:v>LC (np̄)</c:v>
                </c:pt>
              </c:strCache>
            </c:strRef>
          </c:tx>
          <c:spPr>
            <a:solidFill>
              <a:srgbClr val="ffc000"/>
            </a:solidFill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np'!$A$3:$A$17</c:f>
              <c:strCache>
                <c:ptCount val="15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  <c:pt idx="10">
                  <c:v>11.00</c:v>
                </c:pt>
                <c:pt idx="11">
                  <c:v>12.00</c:v>
                </c:pt>
                <c:pt idx="12">
                  <c:v>13.00</c:v>
                </c:pt>
                <c:pt idx="13">
                  <c:v>14.00</c:v>
                </c:pt>
                <c:pt idx="14">
                  <c:v>15.00</c:v>
                </c:pt>
              </c:strCache>
            </c:strRef>
          </c:cat>
          <c:val>
            <c:numRef>
              <c:f>'Grafica np'!$C$3:$C$17</c:f>
              <c:numCache>
                <c:formatCode>0.00</c:formatCode>
                <c:ptCount val="15"/>
                <c:pt idx="0">
                  <c:v>5.7333</c:v>
                </c:pt>
                <c:pt idx="1">
                  <c:v>5.7333</c:v>
                </c:pt>
                <c:pt idx="2">
                  <c:v>5.7333</c:v>
                </c:pt>
                <c:pt idx="3">
                  <c:v>5.7333</c:v>
                </c:pt>
                <c:pt idx="4">
                  <c:v>5.7333</c:v>
                </c:pt>
                <c:pt idx="5">
                  <c:v>5.7333</c:v>
                </c:pt>
                <c:pt idx="6">
                  <c:v>5.7333</c:v>
                </c:pt>
                <c:pt idx="7">
                  <c:v>5.7333</c:v>
                </c:pt>
                <c:pt idx="8">
                  <c:v>5.7333</c:v>
                </c:pt>
                <c:pt idx="9">
                  <c:v>5.7333</c:v>
                </c:pt>
                <c:pt idx="10">
                  <c:v>5.7333</c:v>
                </c:pt>
                <c:pt idx="11">
                  <c:v>5.7333</c:v>
                </c:pt>
                <c:pt idx="12">
                  <c:v>5.7333</c:v>
                </c:pt>
                <c:pt idx="13">
                  <c:v>5.7333</c:v>
                </c:pt>
                <c:pt idx="14">
                  <c:v>5.7333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'Grafica np'!D2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00b050"/>
            </a:solidFill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np'!$A$3:$A$17</c:f>
              <c:strCache>
                <c:ptCount val="15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  <c:pt idx="10">
                  <c:v>11.00</c:v>
                </c:pt>
                <c:pt idx="11">
                  <c:v>12.00</c:v>
                </c:pt>
                <c:pt idx="12">
                  <c:v>13.00</c:v>
                </c:pt>
                <c:pt idx="13">
                  <c:v>14.00</c:v>
                </c:pt>
                <c:pt idx="14">
                  <c:v>15.00</c:v>
                </c:pt>
              </c:strCache>
            </c:strRef>
          </c:cat>
          <c:val>
            <c:numRef>
              <c:f>'Grafica np'!$D$3:$D$17</c:f>
              <c:numCache>
                <c:formatCode>0.00</c:formatCode>
                <c:ptCount val="15"/>
                <c:pt idx="0">
                  <c:v>12.7077</c:v>
                </c:pt>
                <c:pt idx="1">
                  <c:v>12.7077</c:v>
                </c:pt>
                <c:pt idx="2">
                  <c:v>12.7077</c:v>
                </c:pt>
                <c:pt idx="3">
                  <c:v>12.7077</c:v>
                </c:pt>
                <c:pt idx="4">
                  <c:v>12.7077</c:v>
                </c:pt>
                <c:pt idx="5">
                  <c:v>12.7077</c:v>
                </c:pt>
                <c:pt idx="6">
                  <c:v>12.7077</c:v>
                </c:pt>
                <c:pt idx="7">
                  <c:v>12.7077</c:v>
                </c:pt>
                <c:pt idx="8">
                  <c:v>12.7077</c:v>
                </c:pt>
                <c:pt idx="9">
                  <c:v>12.7077</c:v>
                </c:pt>
                <c:pt idx="10">
                  <c:v>12.7077</c:v>
                </c:pt>
                <c:pt idx="11">
                  <c:v>12.7077</c:v>
                </c:pt>
                <c:pt idx="12">
                  <c:v>12.7077</c:v>
                </c:pt>
                <c:pt idx="13">
                  <c:v>12.7077</c:v>
                </c:pt>
                <c:pt idx="14">
                  <c:v>12.7077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'Grafica np'!E2</c:f>
              <c:strCache>
                <c:ptCount val="1"/>
                <c:pt idx="0">
                  <c:v>np (Discrepancias)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np'!$A$3:$A$17</c:f>
              <c:strCache>
                <c:ptCount val="15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  <c:pt idx="9">
                  <c:v>10.00</c:v>
                </c:pt>
                <c:pt idx="10">
                  <c:v>11.00</c:v>
                </c:pt>
                <c:pt idx="11">
                  <c:v>12.00</c:v>
                </c:pt>
                <c:pt idx="12">
                  <c:v>13.00</c:v>
                </c:pt>
                <c:pt idx="13">
                  <c:v>14.00</c:v>
                </c:pt>
                <c:pt idx="14">
                  <c:v>15.00</c:v>
                </c:pt>
              </c:strCache>
            </c:strRef>
          </c:cat>
          <c:val>
            <c:numRef>
              <c:f>'Grafica np'!$E$3:$E$17</c:f>
              <c:numCache>
                <c:formatCode>0.00</c:formatCode>
                <c:ptCount val="1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9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5</c:v>
                </c:pt>
                <c:pt idx="13">
                  <c:v>8</c:v>
                </c:pt>
                <c:pt idx="14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1155288"/>
        <c:axId val="52310509"/>
      </c:lineChart>
      <c:catAx>
        <c:axId val="111552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Sucursal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10509"/>
        <c:crosses val="autoZero"/>
        <c:auto val="1"/>
        <c:lblAlgn val="ctr"/>
        <c:lblOffset val="100"/>
        <c:noMultiLvlLbl val="0"/>
      </c:catAx>
      <c:valAx>
        <c:axId val="52310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Numero de discrepancias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55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7</xdr:col>
      <xdr:colOff>368280</xdr:colOff>
      <xdr:row>48</xdr:row>
      <xdr:rowOff>44640</xdr:rowOff>
    </xdr:to>
    <xdr:graphicFrame>
      <xdr:nvGraphicFramePr>
        <xdr:cNvPr id="0" name="Chart 1"/>
        <xdr:cNvGraphicFramePr/>
      </xdr:nvGraphicFramePr>
      <xdr:xfrm>
        <a:off x="0" y="342900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4" t="s">
        <v>3</v>
      </c>
      <c r="B6" s="4"/>
      <c r="C6" s="4"/>
      <c r="D6" s="5" t="s">
        <v>4</v>
      </c>
      <c r="E6" s="5"/>
      <c r="F6" s="5"/>
    </row>
    <row r="7" customFormat="false" ht="15" hidden="false" customHeight="false" outlineLevel="0" collapsed="false">
      <c r="A7" s="6" t="s">
        <v>5</v>
      </c>
      <c r="B7" s="6" t="s">
        <v>6</v>
      </c>
      <c r="D7" s="6" t="s">
        <v>5</v>
      </c>
      <c r="E7" s="6" t="s">
        <v>7</v>
      </c>
    </row>
    <row r="8" customFormat="false" ht="15" hidden="false" customHeight="false" outlineLevel="0" collapsed="false">
      <c r="A8" s="7" t="s">
        <v>8</v>
      </c>
      <c r="B8" s="8" t="s">
        <v>9</v>
      </c>
      <c r="D8" s="7" t="s">
        <v>8</v>
      </c>
      <c r="E8" s="8" t="s">
        <v>10</v>
      </c>
    </row>
    <row r="9" customFormat="false" ht="15" hidden="false" customHeight="false" outlineLevel="0" collapsed="false">
      <c r="A9" s="7" t="s">
        <v>11</v>
      </c>
      <c r="B9" s="8" t="s">
        <v>12</v>
      </c>
      <c r="D9" s="7" t="s">
        <v>11</v>
      </c>
      <c r="E9" s="8" t="s">
        <v>13</v>
      </c>
    </row>
    <row r="10" customFormat="false" ht="15" hidden="false" customHeight="false" outlineLevel="0" collapsed="false">
      <c r="A10" s="7" t="s">
        <v>14</v>
      </c>
      <c r="B10" s="8" t="s">
        <v>15</v>
      </c>
      <c r="D10" s="7" t="s">
        <v>14</v>
      </c>
      <c r="E10" s="8" t="s">
        <v>16</v>
      </c>
    </row>
    <row r="11" customFormat="false" ht="15" hidden="false" customHeight="false" outlineLevel="0" collapsed="false">
      <c r="A11" s="7" t="s">
        <v>17</v>
      </c>
      <c r="B11" s="8" t="s">
        <v>18</v>
      </c>
      <c r="D11" s="7" t="s">
        <v>17</v>
      </c>
      <c r="E11" s="8" t="s">
        <v>19</v>
      </c>
    </row>
    <row r="12" customFormat="false" ht="15" hidden="false" customHeight="false" outlineLevel="0" collapsed="false">
      <c r="A12" s="7" t="s">
        <v>20</v>
      </c>
      <c r="B12" s="8" t="s">
        <v>21</v>
      </c>
      <c r="D12" s="7" t="s">
        <v>20</v>
      </c>
      <c r="E12" s="8" t="s">
        <v>22</v>
      </c>
    </row>
    <row r="13" customFormat="false" ht="15" hidden="false" customHeight="false" outlineLevel="0" collapsed="false">
      <c r="A13" s="7" t="s">
        <v>23</v>
      </c>
      <c r="B13" s="8" t="s">
        <v>24</v>
      </c>
      <c r="D13" s="7" t="s">
        <v>23</v>
      </c>
      <c r="E13" s="8" t="s">
        <v>25</v>
      </c>
    </row>
    <row r="14" customFormat="false" ht="15" hidden="false" customHeight="false" outlineLevel="0" collapsed="false">
      <c r="A14" s="7" t="s">
        <v>26</v>
      </c>
      <c r="B14" s="8" t="s">
        <v>27</v>
      </c>
      <c r="D14" s="7" t="s">
        <v>26</v>
      </c>
      <c r="E14" s="8" t="s">
        <v>28</v>
      </c>
    </row>
    <row r="16" customFormat="false" ht="15" hidden="false" customHeight="false" outlineLevel="0" collapsed="false">
      <c r="A16" s="9" t="s">
        <v>29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10" t="s">
        <v>30</v>
      </c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1" t="s">
        <v>31</v>
      </c>
      <c r="B18" s="11"/>
      <c r="C18" s="11"/>
      <c r="D18" s="11"/>
      <c r="E18" s="11"/>
      <c r="F18" s="11"/>
    </row>
    <row r="20" customFormat="false" ht="15" hidden="false" customHeight="false" outlineLevel="0" collapsed="false">
      <c r="A20" s="12" t="s">
        <v>32</v>
      </c>
      <c r="B20" s="12"/>
      <c r="C20" s="12"/>
      <c r="D20" s="12"/>
      <c r="E20" s="12"/>
      <c r="F20" s="12"/>
    </row>
    <row r="21" customFormat="false" ht="15" hidden="false" customHeight="false" outlineLevel="0" collapsed="false">
      <c r="A21" s="13" t="s">
        <v>33</v>
      </c>
      <c r="B21" s="14" t="n">
        <v>100</v>
      </c>
    </row>
    <row r="22" customFormat="false" ht="15" hidden="false" customHeight="false" outlineLevel="0" collapsed="false">
      <c r="A22" s="13" t="s">
        <v>34</v>
      </c>
      <c r="B22" s="15" t="n">
        <v>15</v>
      </c>
    </row>
    <row r="24" customFormat="false" ht="15" hidden="false" customHeight="false" outlineLevel="0" collapsed="false">
      <c r="A24" s="16" t="s">
        <v>35</v>
      </c>
      <c r="B24" s="16"/>
      <c r="C24" s="16"/>
    </row>
    <row r="25" customFormat="false" ht="15" hidden="false" customHeight="false" outlineLevel="0" collapsed="false">
      <c r="A25" s="7" t="s">
        <v>36</v>
      </c>
      <c r="B25" s="17" t="s">
        <v>37</v>
      </c>
    </row>
    <row r="26" customFormat="false" ht="15" hidden="false" customHeight="false" outlineLevel="0" collapsed="false">
      <c r="A26" s="7" t="s">
        <v>38</v>
      </c>
      <c r="B26" s="17" t="s">
        <v>39</v>
      </c>
    </row>
    <row r="27" customFormat="false" ht="15" hidden="false" customHeight="false" outlineLevel="0" collapsed="false">
      <c r="A27" s="7" t="s">
        <v>40</v>
      </c>
      <c r="B27" s="17" t="s">
        <v>41</v>
      </c>
    </row>
    <row r="28" customFormat="false" ht="15" hidden="false" customHeight="false" outlineLevel="0" collapsed="false">
      <c r="A28" s="7" t="s">
        <v>42</v>
      </c>
      <c r="B28" s="17" t="s">
        <v>43</v>
      </c>
    </row>
    <row r="29" customFormat="false" ht="15" hidden="false" customHeight="false" outlineLevel="0" collapsed="false">
      <c r="A29" s="7" t="s">
        <v>44</v>
      </c>
      <c r="B29" s="17" t="s">
        <v>45</v>
      </c>
    </row>
    <row r="31" customFormat="false" ht="15" hidden="false" customHeight="false" outlineLevel="0" collapsed="false">
      <c r="A31" s="18" t="s">
        <v>46</v>
      </c>
      <c r="B31" s="18"/>
      <c r="C31" s="18"/>
      <c r="D31" s="18"/>
      <c r="E31" s="18"/>
      <c r="F31" s="18"/>
      <c r="H31" s="13" t="s">
        <v>47</v>
      </c>
      <c r="I31" s="13" t="s">
        <v>43</v>
      </c>
    </row>
    <row r="32" customFormat="false" ht="15" hidden="false" customHeight="false" outlineLevel="0" collapsed="false">
      <c r="A32" s="6" t="s">
        <v>48</v>
      </c>
      <c r="B32" s="6" t="s">
        <v>49</v>
      </c>
      <c r="C32" s="6" t="s">
        <v>50</v>
      </c>
      <c r="D32" s="6" t="s">
        <v>51</v>
      </c>
      <c r="E32" s="6" t="s">
        <v>52</v>
      </c>
      <c r="F32" s="6" t="s">
        <v>53</v>
      </c>
      <c r="H32" s="19" t="n">
        <f aca="false">SUM(C33:C47)/SUM(B33:B47)</f>
        <v>0.0573333333333333</v>
      </c>
      <c r="I32" s="20" t="n">
        <f aca="false">AVERAGE(C33:C47)</f>
        <v>5.73333333333333</v>
      </c>
    </row>
    <row r="33" customFormat="false" ht="15" hidden="false" customHeight="false" outlineLevel="0" collapsed="false">
      <c r="A33" s="21" t="n">
        <v>1</v>
      </c>
      <c r="B33" s="21" t="n">
        <v>100</v>
      </c>
      <c r="C33" s="21" t="n">
        <v>4</v>
      </c>
      <c r="D33" s="22" t="n">
        <f aca="false">MAX(0, $I$32 - 3*SQRT($I$32*(1-$H$32)))</f>
        <v>0</v>
      </c>
      <c r="E33" s="22" t="n">
        <f aca="false">$I$32</f>
        <v>5.73333333333333</v>
      </c>
      <c r="F33" s="22" t="n">
        <f aca="false">$I$32 + 3*SQRT($I$32*(1-$H$32))</f>
        <v>12.707686349922</v>
      </c>
    </row>
    <row r="34" customFormat="false" ht="15" hidden="false" customHeight="false" outlineLevel="0" collapsed="false">
      <c r="A34" s="21" t="n">
        <v>2</v>
      </c>
      <c r="B34" s="21" t="n">
        <v>100</v>
      </c>
      <c r="C34" s="21" t="n">
        <v>6</v>
      </c>
      <c r="D34" s="22" t="n">
        <f aca="false">MAX(0, $I$32 - 3*SQRT($I$32*(1-$H$32)))</f>
        <v>0</v>
      </c>
      <c r="E34" s="22" t="n">
        <f aca="false">$I$32</f>
        <v>5.73333333333333</v>
      </c>
      <c r="F34" s="22" t="n">
        <f aca="false">$I$32 + 3*SQRT($I$32*(1-$H$32))</f>
        <v>12.707686349922</v>
      </c>
    </row>
    <row r="35" customFormat="false" ht="15" hidden="false" customHeight="false" outlineLevel="0" collapsed="false">
      <c r="A35" s="21" t="n">
        <v>3</v>
      </c>
      <c r="B35" s="21" t="n">
        <v>100</v>
      </c>
      <c r="C35" s="21" t="n">
        <v>3</v>
      </c>
      <c r="D35" s="22" t="n">
        <f aca="false">MAX(0, $I$32 - 3*SQRT($I$32*(1-$H$32)))</f>
        <v>0</v>
      </c>
      <c r="E35" s="22" t="n">
        <f aca="false">$I$32</f>
        <v>5.73333333333333</v>
      </c>
      <c r="F35" s="22" t="n">
        <f aca="false">$I$32 + 3*SQRT($I$32*(1-$H$32))</f>
        <v>12.707686349922</v>
      </c>
    </row>
    <row r="36" customFormat="false" ht="15" hidden="false" customHeight="false" outlineLevel="0" collapsed="false">
      <c r="A36" s="21" t="n">
        <v>4</v>
      </c>
      <c r="B36" s="21" t="n">
        <v>100</v>
      </c>
      <c r="C36" s="21" t="n">
        <v>8</v>
      </c>
      <c r="D36" s="22" t="n">
        <f aca="false">MAX(0, $I$32 - 3*SQRT($I$32*(1-$H$32)))</f>
        <v>0</v>
      </c>
      <c r="E36" s="22" t="n">
        <f aca="false">$I$32</f>
        <v>5.73333333333333</v>
      </c>
      <c r="F36" s="22" t="n">
        <f aca="false">$I$32 + 3*SQRT($I$32*(1-$H$32))</f>
        <v>12.707686349922</v>
      </c>
    </row>
    <row r="37" customFormat="false" ht="15" hidden="false" customHeight="false" outlineLevel="0" collapsed="false">
      <c r="A37" s="21" t="n">
        <v>5</v>
      </c>
      <c r="B37" s="21" t="n">
        <v>100</v>
      </c>
      <c r="C37" s="21" t="n">
        <v>5</v>
      </c>
      <c r="D37" s="22" t="n">
        <f aca="false">MAX(0, $I$32 - 3*SQRT($I$32*(1-$H$32)))</f>
        <v>0</v>
      </c>
      <c r="E37" s="22" t="n">
        <f aca="false">$I$32</f>
        <v>5.73333333333333</v>
      </c>
      <c r="F37" s="22" t="n">
        <f aca="false">$I$32 + 3*SQRT($I$32*(1-$H$32))</f>
        <v>12.707686349922</v>
      </c>
    </row>
    <row r="38" customFormat="false" ht="15" hidden="false" customHeight="false" outlineLevel="0" collapsed="false">
      <c r="A38" s="21" t="n">
        <v>6</v>
      </c>
      <c r="B38" s="21" t="n">
        <v>100</v>
      </c>
      <c r="C38" s="21" t="n">
        <v>7</v>
      </c>
      <c r="D38" s="22" t="n">
        <f aca="false">MAX(0, $I$32 - 3*SQRT($I$32*(1-$H$32)))</f>
        <v>0</v>
      </c>
      <c r="E38" s="22" t="n">
        <f aca="false">$I$32</f>
        <v>5.73333333333333</v>
      </c>
      <c r="F38" s="22" t="n">
        <f aca="false">$I$32 + 3*SQRT($I$32*(1-$H$32))</f>
        <v>12.707686349922</v>
      </c>
    </row>
    <row r="39" customFormat="false" ht="15" hidden="false" customHeight="false" outlineLevel="0" collapsed="false">
      <c r="A39" s="21" t="n">
        <v>7</v>
      </c>
      <c r="B39" s="21" t="n">
        <v>100</v>
      </c>
      <c r="C39" s="21" t="n">
        <v>4</v>
      </c>
      <c r="D39" s="22" t="n">
        <f aca="false">MAX(0, $I$32 - 3*SQRT($I$32*(1-$H$32)))</f>
        <v>0</v>
      </c>
      <c r="E39" s="22" t="n">
        <f aca="false">$I$32</f>
        <v>5.73333333333333</v>
      </c>
      <c r="F39" s="22" t="n">
        <f aca="false">$I$32 + 3*SQRT($I$32*(1-$H$32))</f>
        <v>12.707686349922</v>
      </c>
    </row>
    <row r="40" customFormat="false" ht="15" hidden="false" customHeight="false" outlineLevel="0" collapsed="false">
      <c r="A40" s="21" t="n">
        <v>8</v>
      </c>
      <c r="B40" s="21" t="n">
        <v>100</v>
      </c>
      <c r="C40" s="21" t="n">
        <v>9</v>
      </c>
      <c r="D40" s="22" t="n">
        <f aca="false">MAX(0, $I$32 - 3*SQRT($I$32*(1-$H$32)))</f>
        <v>0</v>
      </c>
      <c r="E40" s="22" t="n">
        <f aca="false">$I$32</f>
        <v>5.73333333333333</v>
      </c>
      <c r="F40" s="22" t="n">
        <f aca="false">$I$32 + 3*SQRT($I$32*(1-$H$32))</f>
        <v>12.707686349922</v>
      </c>
    </row>
    <row r="41" customFormat="false" ht="15" hidden="false" customHeight="false" outlineLevel="0" collapsed="false">
      <c r="A41" s="21" t="n">
        <v>9</v>
      </c>
      <c r="B41" s="21" t="n">
        <v>100</v>
      </c>
      <c r="C41" s="21" t="n">
        <v>5</v>
      </c>
      <c r="D41" s="22" t="n">
        <f aca="false">MAX(0, $I$32 - 3*SQRT($I$32*(1-$H$32)))</f>
        <v>0</v>
      </c>
      <c r="E41" s="22" t="n">
        <f aca="false">$I$32</f>
        <v>5.73333333333333</v>
      </c>
      <c r="F41" s="22" t="n">
        <f aca="false">$I$32 + 3*SQRT($I$32*(1-$H$32))</f>
        <v>12.707686349922</v>
      </c>
    </row>
    <row r="42" customFormat="false" ht="15" hidden="false" customHeight="false" outlineLevel="0" collapsed="false">
      <c r="A42" s="21" t="n">
        <v>10</v>
      </c>
      <c r="B42" s="21" t="n">
        <v>100</v>
      </c>
      <c r="C42" s="21" t="n">
        <v>6</v>
      </c>
      <c r="D42" s="22" t="n">
        <f aca="false">MAX(0, $I$32 - 3*SQRT($I$32*(1-$H$32)))</f>
        <v>0</v>
      </c>
      <c r="E42" s="22" t="n">
        <f aca="false">$I$32</f>
        <v>5.73333333333333</v>
      </c>
      <c r="F42" s="22" t="n">
        <f aca="false">$I$32 + 3*SQRT($I$32*(1-$H$32))</f>
        <v>12.707686349922</v>
      </c>
    </row>
    <row r="43" customFormat="false" ht="15" hidden="false" customHeight="false" outlineLevel="0" collapsed="false">
      <c r="A43" s="21" t="n">
        <v>11</v>
      </c>
      <c r="B43" s="21" t="n">
        <v>100</v>
      </c>
      <c r="C43" s="21" t="n">
        <v>3</v>
      </c>
      <c r="D43" s="22" t="n">
        <f aca="false">MAX(0, $I$32 - 3*SQRT($I$32*(1-$H$32)))</f>
        <v>0</v>
      </c>
      <c r="E43" s="22" t="n">
        <f aca="false">$I$32</f>
        <v>5.73333333333333</v>
      </c>
      <c r="F43" s="22" t="n">
        <f aca="false">$I$32 + 3*SQRT($I$32*(1-$H$32))</f>
        <v>12.707686349922</v>
      </c>
    </row>
    <row r="44" customFormat="false" ht="15" hidden="false" customHeight="false" outlineLevel="0" collapsed="false">
      <c r="A44" s="21" t="n">
        <v>12</v>
      </c>
      <c r="B44" s="21" t="n">
        <v>100</v>
      </c>
      <c r="C44" s="21" t="n">
        <v>7</v>
      </c>
      <c r="D44" s="22" t="n">
        <f aca="false">MAX(0, $I$32 - 3*SQRT($I$32*(1-$H$32)))</f>
        <v>0</v>
      </c>
      <c r="E44" s="22" t="n">
        <f aca="false">$I$32</f>
        <v>5.73333333333333</v>
      </c>
      <c r="F44" s="22" t="n">
        <f aca="false">$I$32 + 3*SQRT($I$32*(1-$H$32))</f>
        <v>12.707686349922</v>
      </c>
    </row>
    <row r="45" customFormat="false" ht="15" hidden="false" customHeight="false" outlineLevel="0" collapsed="false">
      <c r="A45" s="21" t="n">
        <v>13</v>
      </c>
      <c r="B45" s="21" t="n">
        <v>100</v>
      </c>
      <c r="C45" s="21" t="n">
        <v>5</v>
      </c>
      <c r="D45" s="22" t="n">
        <f aca="false">MAX(0, $I$32 - 3*SQRT($I$32*(1-$H$32)))</f>
        <v>0</v>
      </c>
      <c r="E45" s="22" t="n">
        <f aca="false">$I$32</f>
        <v>5.73333333333333</v>
      </c>
      <c r="F45" s="22" t="n">
        <f aca="false">$I$32 + 3*SQRT($I$32*(1-$H$32))</f>
        <v>12.707686349922</v>
      </c>
    </row>
    <row r="46" customFormat="false" ht="15" hidden="false" customHeight="false" outlineLevel="0" collapsed="false">
      <c r="A46" s="21" t="n">
        <v>14</v>
      </c>
      <c r="B46" s="21" t="n">
        <v>100</v>
      </c>
      <c r="C46" s="21" t="n">
        <v>8</v>
      </c>
      <c r="D46" s="22" t="n">
        <f aca="false">MAX(0, $I$32 - 3*SQRT($I$32*(1-$H$32)))</f>
        <v>0</v>
      </c>
      <c r="E46" s="22" t="n">
        <f aca="false">$I$32</f>
        <v>5.73333333333333</v>
      </c>
      <c r="F46" s="22" t="n">
        <f aca="false">$I$32 + 3*SQRT($I$32*(1-$H$32))</f>
        <v>12.707686349922</v>
      </c>
    </row>
    <row r="47" customFormat="false" ht="15" hidden="false" customHeight="false" outlineLevel="0" collapsed="false">
      <c r="A47" s="21" t="n">
        <v>15</v>
      </c>
      <c r="B47" s="21" t="n">
        <v>100</v>
      </c>
      <c r="C47" s="21" t="n">
        <v>6</v>
      </c>
      <c r="D47" s="22" t="n">
        <f aca="false">MAX(0, $I$32 - 3*SQRT($I$32*(1-$H$32)))</f>
        <v>0</v>
      </c>
      <c r="E47" s="22" t="n">
        <f aca="false">$I$32</f>
        <v>5.73333333333333</v>
      </c>
      <c r="F47" s="22" t="n">
        <f aca="false">$I$32 + 3*SQRT($I$32*(1-$H$32))</f>
        <v>12.707686349922</v>
      </c>
    </row>
    <row r="50" customFormat="false" ht="15" hidden="false" customHeight="false" outlineLevel="0" collapsed="false">
      <c r="A50" s="23" t="s">
        <v>54</v>
      </c>
      <c r="B50" s="23"/>
      <c r="C50" s="23"/>
    </row>
    <row r="51" customFormat="false" ht="15" hidden="false" customHeight="false" outlineLevel="0" collapsed="false">
      <c r="A51" s="7" t="s">
        <v>55</v>
      </c>
      <c r="B51" s="17" t="n">
        <f aca="false">SUM(C33:C47)</f>
        <v>86</v>
      </c>
    </row>
    <row r="52" customFormat="false" ht="15" hidden="false" customHeight="false" outlineLevel="0" collapsed="false">
      <c r="A52" s="7" t="s">
        <v>56</v>
      </c>
      <c r="B52" s="17" t="n">
        <f aca="false">SUM(B33:B47)</f>
        <v>1500</v>
      </c>
    </row>
    <row r="53" customFormat="false" ht="15" hidden="false" customHeight="false" outlineLevel="0" collapsed="false">
      <c r="A53" s="7" t="s">
        <v>57</v>
      </c>
      <c r="B53" s="24" t="n">
        <f aca="false">H32</f>
        <v>0.0573333333333333</v>
      </c>
    </row>
    <row r="54" customFormat="false" ht="15" hidden="false" customHeight="false" outlineLevel="0" collapsed="false">
      <c r="A54" s="7" t="s">
        <v>58</v>
      </c>
      <c r="B54" s="25" t="n">
        <f aca="false">I32</f>
        <v>5.73333333333333</v>
      </c>
    </row>
    <row r="55" customFormat="false" ht="15" hidden="false" customHeight="false" outlineLevel="0" collapsed="false">
      <c r="A55" s="26" t="s">
        <v>59</v>
      </c>
      <c r="B55" s="22" t="n">
        <f aca="false">F33</f>
        <v>12.707686349922</v>
      </c>
    </row>
    <row r="56" customFormat="false" ht="15" hidden="false" customHeight="false" outlineLevel="0" collapsed="false">
      <c r="A56" s="7" t="s">
        <v>60</v>
      </c>
      <c r="B56" s="22" t="n">
        <f aca="false">E33</f>
        <v>5.73333333333333</v>
      </c>
    </row>
    <row r="57" customFormat="false" ht="15" hidden="false" customHeight="false" outlineLevel="0" collapsed="false">
      <c r="A57" s="27" t="s">
        <v>61</v>
      </c>
      <c r="B57" s="22" t="n">
        <f aca="false">D33</f>
        <v>0</v>
      </c>
    </row>
    <row r="60" customFormat="false" ht="15" hidden="false" customHeight="false" outlineLevel="0" collapsed="false">
      <c r="A60" s="3" t="s">
        <v>62</v>
      </c>
      <c r="B60" s="3"/>
      <c r="C60" s="3"/>
      <c r="D60" s="3"/>
      <c r="E60" s="3"/>
      <c r="F60" s="3"/>
    </row>
    <row r="61" customFormat="false" ht="15" hidden="false" customHeight="false" outlineLevel="0" collapsed="false">
      <c r="A61" s="9" t="s">
        <v>63</v>
      </c>
      <c r="B61" s="9"/>
      <c r="C61" s="9"/>
      <c r="D61" s="9"/>
      <c r="E61" s="9"/>
      <c r="F61" s="9"/>
    </row>
    <row r="62" customFormat="false" ht="15" hidden="false" customHeight="false" outlineLevel="0" collapsed="false">
      <c r="A62" s="28" t="s">
        <v>64</v>
      </c>
      <c r="B62" s="28"/>
      <c r="C62" s="28"/>
      <c r="D62" s="28"/>
      <c r="E62" s="28"/>
      <c r="F62" s="28"/>
    </row>
    <row r="63" customFormat="false" ht="15" hidden="false" customHeight="false" outlineLevel="0" collapsed="false">
      <c r="A63" s="28" t="s">
        <v>65</v>
      </c>
      <c r="B63" s="28"/>
      <c r="C63" s="28"/>
      <c r="D63" s="28"/>
      <c r="E63" s="28"/>
      <c r="F63" s="28"/>
    </row>
    <row r="64" customFormat="false" ht="15" hidden="false" customHeight="false" outlineLevel="0" collapsed="false">
      <c r="A64" s="28"/>
      <c r="B64" s="28"/>
      <c r="C64" s="28"/>
      <c r="D64" s="28"/>
      <c r="E64" s="28"/>
      <c r="F64" s="28"/>
    </row>
    <row r="65" customFormat="false" ht="15" hidden="false" customHeight="false" outlineLevel="0" collapsed="false">
      <c r="A65" s="29" t="s">
        <v>66</v>
      </c>
      <c r="B65" s="29"/>
      <c r="C65" s="29"/>
      <c r="D65" s="29"/>
      <c r="E65" s="29"/>
      <c r="F65" s="29"/>
    </row>
    <row r="66" customFormat="false" ht="15" hidden="false" customHeight="false" outlineLevel="0" collapsed="false">
      <c r="A66" s="28" t="s">
        <v>67</v>
      </c>
      <c r="B66" s="28"/>
      <c r="C66" s="28"/>
      <c r="D66" s="28"/>
      <c r="E66" s="28"/>
      <c r="F66" s="28"/>
    </row>
    <row r="67" customFormat="false" ht="15" hidden="false" customHeight="false" outlineLevel="0" collapsed="false">
      <c r="A67" s="28" t="s">
        <v>68</v>
      </c>
      <c r="B67" s="28"/>
      <c r="C67" s="28"/>
      <c r="D67" s="28"/>
      <c r="E67" s="28"/>
      <c r="F67" s="28"/>
    </row>
    <row r="68" customFormat="false" ht="15" hidden="false" customHeight="false" outlineLevel="0" collapsed="false">
      <c r="A68" s="28" t="s">
        <v>69</v>
      </c>
      <c r="B68" s="28"/>
      <c r="C68" s="28"/>
      <c r="D68" s="28"/>
      <c r="E68" s="28"/>
      <c r="F68" s="28"/>
    </row>
    <row r="69" customFormat="false" ht="15" hidden="false" customHeight="false" outlineLevel="0" collapsed="false">
      <c r="A69" s="28"/>
      <c r="B69" s="28"/>
      <c r="C69" s="28"/>
      <c r="D69" s="28"/>
      <c r="E69" s="28"/>
      <c r="F69" s="28"/>
    </row>
    <row r="70" customFormat="false" ht="15" hidden="false" customHeight="false" outlineLevel="0" collapsed="false">
      <c r="A70" s="9" t="s">
        <v>70</v>
      </c>
      <c r="B70" s="9"/>
      <c r="C70" s="9"/>
      <c r="D70" s="9"/>
      <c r="E70" s="9"/>
      <c r="F70" s="9"/>
    </row>
    <row r="71" customFormat="false" ht="15" hidden="false" customHeight="false" outlineLevel="0" collapsed="false">
      <c r="A71" s="28" t="s">
        <v>71</v>
      </c>
      <c r="B71" s="28"/>
      <c r="C71" s="28"/>
      <c r="D71" s="28"/>
      <c r="E71" s="28"/>
      <c r="F71" s="28"/>
    </row>
  </sheetData>
  <mergeCells count="24">
    <mergeCell ref="A1:F1"/>
    <mergeCell ref="A2:F2"/>
    <mergeCell ref="A4:F4"/>
    <mergeCell ref="A6:C6"/>
    <mergeCell ref="D6:F6"/>
    <mergeCell ref="A16:F16"/>
    <mergeCell ref="A17:F17"/>
    <mergeCell ref="A18:F18"/>
    <mergeCell ref="A20:F20"/>
    <mergeCell ref="A24:C24"/>
    <mergeCell ref="A31:F31"/>
    <mergeCell ref="A50:C50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6" t="s">
        <v>72</v>
      </c>
      <c r="B1" s="16"/>
      <c r="C1" s="16"/>
      <c r="D1" s="16"/>
      <c r="E1" s="16"/>
    </row>
    <row r="2" customFormat="false" ht="15" hidden="false" customHeight="false" outlineLevel="0" collapsed="false">
      <c r="A2" s="6" t="s">
        <v>48</v>
      </c>
      <c r="B2" s="6" t="s">
        <v>51</v>
      </c>
      <c r="C2" s="6" t="s">
        <v>52</v>
      </c>
      <c r="D2" s="6" t="s">
        <v>53</v>
      </c>
      <c r="E2" s="6" t="s">
        <v>73</v>
      </c>
    </row>
    <row r="3" customFormat="false" ht="15" hidden="false" customHeight="false" outlineLevel="0" collapsed="false">
      <c r="A3" s="30" t="n">
        <v>1</v>
      </c>
      <c r="B3" s="30" t="n">
        <v>0</v>
      </c>
      <c r="C3" s="30" t="n">
        <v>5.7333</v>
      </c>
      <c r="D3" s="30" t="n">
        <v>12.7077</v>
      </c>
      <c r="E3" s="30" t="n">
        <v>4</v>
      </c>
    </row>
    <row r="4" customFormat="false" ht="15" hidden="false" customHeight="false" outlineLevel="0" collapsed="false">
      <c r="A4" s="30" t="n">
        <v>2</v>
      </c>
      <c r="B4" s="30" t="n">
        <v>0</v>
      </c>
      <c r="C4" s="30" t="n">
        <v>5.7333</v>
      </c>
      <c r="D4" s="30" t="n">
        <v>12.7077</v>
      </c>
      <c r="E4" s="30" t="n">
        <v>6</v>
      </c>
    </row>
    <row r="5" customFormat="false" ht="15" hidden="false" customHeight="false" outlineLevel="0" collapsed="false">
      <c r="A5" s="30" t="n">
        <v>3</v>
      </c>
      <c r="B5" s="30" t="n">
        <v>0</v>
      </c>
      <c r="C5" s="30" t="n">
        <v>5.7333</v>
      </c>
      <c r="D5" s="30" t="n">
        <v>12.7077</v>
      </c>
      <c r="E5" s="30" t="n">
        <v>3</v>
      </c>
    </row>
    <row r="6" customFormat="false" ht="15" hidden="false" customHeight="false" outlineLevel="0" collapsed="false">
      <c r="A6" s="30" t="n">
        <v>4</v>
      </c>
      <c r="B6" s="30" t="n">
        <v>0</v>
      </c>
      <c r="C6" s="30" t="n">
        <v>5.7333</v>
      </c>
      <c r="D6" s="30" t="n">
        <v>12.7077</v>
      </c>
      <c r="E6" s="30" t="n">
        <v>8</v>
      </c>
    </row>
    <row r="7" customFormat="false" ht="15" hidden="false" customHeight="false" outlineLevel="0" collapsed="false">
      <c r="A7" s="30" t="n">
        <v>5</v>
      </c>
      <c r="B7" s="30" t="n">
        <v>0</v>
      </c>
      <c r="C7" s="30" t="n">
        <v>5.7333</v>
      </c>
      <c r="D7" s="30" t="n">
        <v>12.7077</v>
      </c>
      <c r="E7" s="30" t="n">
        <v>5</v>
      </c>
    </row>
    <row r="8" customFormat="false" ht="15" hidden="false" customHeight="false" outlineLevel="0" collapsed="false">
      <c r="A8" s="30" t="n">
        <v>6</v>
      </c>
      <c r="B8" s="30" t="n">
        <v>0</v>
      </c>
      <c r="C8" s="30" t="n">
        <v>5.7333</v>
      </c>
      <c r="D8" s="30" t="n">
        <v>12.7077</v>
      </c>
      <c r="E8" s="30" t="n">
        <v>7</v>
      </c>
    </row>
    <row r="9" customFormat="false" ht="15" hidden="false" customHeight="false" outlineLevel="0" collapsed="false">
      <c r="A9" s="30" t="n">
        <v>7</v>
      </c>
      <c r="B9" s="30" t="n">
        <v>0</v>
      </c>
      <c r="C9" s="30" t="n">
        <v>5.7333</v>
      </c>
      <c r="D9" s="30" t="n">
        <v>12.7077</v>
      </c>
      <c r="E9" s="30" t="n">
        <v>4</v>
      </c>
    </row>
    <row r="10" customFormat="false" ht="15" hidden="false" customHeight="false" outlineLevel="0" collapsed="false">
      <c r="A10" s="30" t="n">
        <v>8</v>
      </c>
      <c r="B10" s="30" t="n">
        <v>0</v>
      </c>
      <c r="C10" s="30" t="n">
        <v>5.7333</v>
      </c>
      <c r="D10" s="30" t="n">
        <v>12.7077</v>
      </c>
      <c r="E10" s="30" t="n">
        <v>9</v>
      </c>
    </row>
    <row r="11" customFormat="false" ht="15" hidden="false" customHeight="false" outlineLevel="0" collapsed="false">
      <c r="A11" s="30" t="n">
        <v>9</v>
      </c>
      <c r="B11" s="30" t="n">
        <v>0</v>
      </c>
      <c r="C11" s="30" t="n">
        <v>5.7333</v>
      </c>
      <c r="D11" s="30" t="n">
        <v>12.7077</v>
      </c>
      <c r="E11" s="30" t="n">
        <v>5</v>
      </c>
    </row>
    <row r="12" customFormat="false" ht="15" hidden="false" customHeight="false" outlineLevel="0" collapsed="false">
      <c r="A12" s="30" t="n">
        <v>10</v>
      </c>
      <c r="B12" s="30" t="n">
        <v>0</v>
      </c>
      <c r="C12" s="30" t="n">
        <v>5.7333</v>
      </c>
      <c r="D12" s="30" t="n">
        <v>12.7077</v>
      </c>
      <c r="E12" s="30" t="n">
        <v>6</v>
      </c>
    </row>
    <row r="13" customFormat="false" ht="15" hidden="false" customHeight="false" outlineLevel="0" collapsed="false">
      <c r="A13" s="30" t="n">
        <v>11</v>
      </c>
      <c r="B13" s="30" t="n">
        <v>0</v>
      </c>
      <c r="C13" s="30" t="n">
        <v>5.7333</v>
      </c>
      <c r="D13" s="30" t="n">
        <v>12.7077</v>
      </c>
      <c r="E13" s="30" t="n">
        <v>3</v>
      </c>
    </row>
    <row r="14" customFormat="false" ht="15" hidden="false" customHeight="false" outlineLevel="0" collapsed="false">
      <c r="A14" s="30" t="n">
        <v>12</v>
      </c>
      <c r="B14" s="30" t="n">
        <v>0</v>
      </c>
      <c r="C14" s="30" t="n">
        <v>5.7333</v>
      </c>
      <c r="D14" s="30" t="n">
        <v>12.7077</v>
      </c>
      <c r="E14" s="30" t="n">
        <v>7</v>
      </c>
    </row>
    <row r="15" customFormat="false" ht="15" hidden="false" customHeight="false" outlineLevel="0" collapsed="false">
      <c r="A15" s="30" t="n">
        <v>13</v>
      </c>
      <c r="B15" s="30" t="n">
        <v>0</v>
      </c>
      <c r="C15" s="30" t="n">
        <v>5.7333</v>
      </c>
      <c r="D15" s="30" t="n">
        <v>12.7077</v>
      </c>
      <c r="E15" s="30" t="n">
        <v>5</v>
      </c>
    </row>
    <row r="16" customFormat="false" ht="15" hidden="false" customHeight="false" outlineLevel="0" collapsed="false">
      <c r="A16" s="30" t="n">
        <v>14</v>
      </c>
      <c r="B16" s="30" t="n">
        <v>0</v>
      </c>
      <c r="C16" s="30" t="n">
        <v>5.7333</v>
      </c>
      <c r="D16" s="30" t="n">
        <v>12.7077</v>
      </c>
      <c r="E16" s="30" t="n">
        <v>8</v>
      </c>
    </row>
    <row r="17" customFormat="false" ht="15" hidden="false" customHeight="false" outlineLevel="0" collapsed="false">
      <c r="A17" s="30" t="n">
        <v>15</v>
      </c>
      <c r="B17" s="30" t="n">
        <v>0</v>
      </c>
      <c r="C17" s="30" t="n">
        <v>5.7333</v>
      </c>
      <c r="D17" s="30" t="n">
        <v>12.7077</v>
      </c>
      <c r="E17" s="30" t="n">
        <v>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2026-07-04T14:28:05Z</dcterms:created>
  <dc:creator>openpyxl</dc:creator>
  <dc:description/>
  <dc:language>en-US</dc:language>
  <cp:lastModifiedBy/>
  <dcterms:modified xsi:type="dcterms:W3CDTF">2026-07-04T14:28:12Z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