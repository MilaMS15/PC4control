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lagros\Downloads\"/>
    </mc:Choice>
  </mc:AlternateContent>
  <xr:revisionPtr revIDLastSave="0" documentId="13_ncr:1_{F593795A-3DE1-42D5-976B-4A3B7090F25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os" sheetId="1" r:id="rId1"/>
    <sheet name="Graficas X-R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1" l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C29" i="1" s="1"/>
  <c r="H14" i="1"/>
  <c r="G14" i="1"/>
  <c r="H13" i="1"/>
  <c r="G13" i="1"/>
  <c r="H12" i="1"/>
  <c r="C30" i="1" s="1"/>
  <c r="G12" i="1"/>
  <c r="C36" i="1" l="1"/>
  <c r="C35" i="1"/>
  <c r="C34" i="1"/>
  <c r="C41" i="1"/>
  <c r="C40" i="1"/>
  <c r="C39" i="1"/>
  <c r="C31" i="1"/>
</calcChain>
</file>

<file path=xl/sharedStrings.xml><?xml version="1.0" encoding="utf-8"?>
<sst xmlns="http://schemas.openxmlformats.org/spreadsheetml/2006/main" count="54" uniqueCount="48">
  <si>
    <t>PROBLEMA 1: Tiempo procesamiento transacciones JP Morgan</t>
  </si>
  <si>
    <t>n=5 -&gt; Grafica X-R (Media-Rango) | k=15 subgrupos</t>
  </si>
  <si>
    <t>CONSTANTES (n=5)</t>
  </si>
  <si>
    <t>A2</t>
  </si>
  <si>
    <t>D3</t>
  </si>
  <si>
    <t>D4</t>
  </si>
  <si>
    <t>d2</t>
  </si>
  <si>
    <t>TABLA DE DATOS</t>
  </si>
  <si>
    <t>Subgrupo</t>
  </si>
  <si>
    <t>X1</t>
  </si>
  <si>
    <t>X2</t>
  </si>
  <si>
    <t>X3</t>
  </si>
  <si>
    <t>X4</t>
  </si>
  <si>
    <t>X5</t>
  </si>
  <si>
    <t>Media (X)</t>
  </si>
  <si>
    <t>Rango (R)</t>
  </si>
  <si>
    <t>ESTADISTICAS</t>
  </si>
  <si>
    <t>Gran Media (X)</t>
  </si>
  <si>
    <t>AVERAGE(G12:G26)</t>
  </si>
  <si>
    <t>Rango Promedio (R)</t>
  </si>
  <si>
    <t>AVERAGE(H12:H26)</t>
  </si>
  <si>
    <t>Sigma estimada</t>
  </si>
  <si>
    <t>R / d2</t>
  </si>
  <si>
    <t>LIMITES GRAFICA X</t>
  </si>
  <si>
    <t>LCS(X)</t>
  </si>
  <si>
    <t>X + A2*R</t>
  </si>
  <si>
    <t>LC(X)</t>
  </si>
  <si>
    <t>X</t>
  </si>
  <si>
    <t>LCI(X)</t>
  </si>
  <si>
    <t>X - A2*R</t>
  </si>
  <si>
    <t>LIMITES GRAFICA R</t>
  </si>
  <si>
    <t>LCS(R)</t>
  </si>
  <si>
    <t>D4 * R</t>
  </si>
  <si>
    <t>LC(R)</t>
  </si>
  <si>
    <t>R</t>
  </si>
  <si>
    <t>LCI(R)</t>
  </si>
  <si>
    <t>D3 * R</t>
  </si>
  <si>
    <t>3. SUBGRUPO 8: FUERA DE CONTROL</t>
  </si>
  <si>
    <t>Datos: 135, 140, 138, 142, 136 ms (Media=138.2 &gt;&gt; LCS=123.41)</t>
  </si>
  <si>
    <t>DECISION: Excluir subgrupo 8 y recalcular limites (causa asignable)</t>
  </si>
  <si>
    <t>Causas: Pico de trafico, congestion BD, GC de JVM, parche, fallo de nodo</t>
  </si>
  <si>
    <t>Ruta Minitab: Stat &gt; Control Charts &gt; Variables Charts for Subgroups &gt; Xbar-R</t>
  </si>
  <si>
    <t>DATOS PARA GRAFICA X</t>
  </si>
  <si>
    <t>DATOS PARA GRAFICA R</t>
  </si>
  <si>
    <t>Muestra</t>
  </si>
  <si>
    <t>LCI</t>
  </si>
  <si>
    <t>LC</t>
  </si>
  <si>
    <t>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</si>
</sst>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1"/>
      <color rgb="FF00B050"/>
      <name val="Arial"/>
      <family val="2"/>
    </font>
    <font>
      <b/>
      <sz val="10"/>
      <color rgb="FFC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0" borderId="0" xfId="0" applyFont="1" applyBorder="1"/>
    <xf numFmtId="0" fontId="7" fillId="0" borderId="0" xfId="0" applyFont="1" applyBorder="1"/>
    <xf numFmtId="0" fontId="5" fillId="0" borderId="0" xfId="0" applyFont="1" applyBorder="1"/>
    <xf numFmtId="0" fontId="3" fillId="7" borderId="0" xfId="0" applyFont="1" applyFill="1" applyBorder="1"/>
    <xf numFmtId="0" fontId="3" fillId="6" borderId="1" xfId="0" applyFont="1" applyFill="1" applyBorder="1"/>
    <xf numFmtId="0" fontId="3" fillId="2" borderId="1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4" borderId="1" xfId="0" applyFont="1" applyFill="1" applyBorder="1"/>
    <xf numFmtId="164" fontId="0" fillId="4" borderId="1" xfId="0" applyNumberFormat="1" applyFill="1" applyBorder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/>
    <xf numFmtId="0" fontId="4" fillId="0" borderId="1" xfId="0" applyFont="1" applyBorder="1"/>
    <xf numFmtId="0" fontId="0" fillId="0" borderId="1" xfId="0" applyFont="1" applyBorder="1"/>
    <xf numFmtId="165" fontId="0" fillId="0" borderId="1" xfId="0" applyNumberFormat="1" applyBorder="1"/>
    <xf numFmtId="166" fontId="0" fillId="0" borderId="1" xfId="0" applyNumberFormat="1" applyBorder="1"/>
    <xf numFmtId="0" fontId="5" fillId="0" borderId="1" xfId="0" applyFont="1" applyBorder="1"/>
    <xf numFmtId="165" fontId="5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Gráfica X̄ (Medias)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'Graficas X-R'!$B$2</c:f>
              <c:strCache>
                <c:ptCount val="1"/>
                <c:pt idx="0">
                  <c:v>LCI</c:v>
                </c:pt>
              </c:strCache>
            </c:strRef>
          </c:tx>
          <c:spPr>
            <a:ln w="2196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X-R'!$A$3:$A$17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X-R'!$B$3:$B$17</c:f>
              <c:numCache>
                <c:formatCode>0.00</c:formatCode>
                <c:ptCount val="15"/>
                <c:pt idx="0">
                  <c:v>119.4131</c:v>
                </c:pt>
                <c:pt idx="1">
                  <c:v>119.4131</c:v>
                </c:pt>
                <c:pt idx="2">
                  <c:v>119.4131</c:v>
                </c:pt>
                <c:pt idx="3">
                  <c:v>119.4131</c:v>
                </c:pt>
                <c:pt idx="4">
                  <c:v>119.4131</c:v>
                </c:pt>
                <c:pt idx="5">
                  <c:v>119.4131</c:v>
                </c:pt>
                <c:pt idx="6">
                  <c:v>119.4131</c:v>
                </c:pt>
                <c:pt idx="7">
                  <c:v>119.4131</c:v>
                </c:pt>
                <c:pt idx="8">
                  <c:v>119.4131</c:v>
                </c:pt>
                <c:pt idx="9">
                  <c:v>119.4131</c:v>
                </c:pt>
                <c:pt idx="10">
                  <c:v>119.4131</c:v>
                </c:pt>
                <c:pt idx="11">
                  <c:v>119.4131</c:v>
                </c:pt>
                <c:pt idx="12">
                  <c:v>119.4131</c:v>
                </c:pt>
                <c:pt idx="13">
                  <c:v>119.4131</c:v>
                </c:pt>
                <c:pt idx="14">
                  <c:v>119.4131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8D-4C6F-ADFD-D6763071C332}"/>
            </c:ext>
          </c:extLst>
        </c:ser>
        <c:ser>
          <c:idx val="1"/>
          <c:order val="1"/>
          <c:tx>
            <c:strRef>
              <c:f>'Graficas X-R'!$C$2</c:f>
              <c:strCache>
                <c:ptCount val="1"/>
                <c:pt idx="0">
                  <c:v>LC</c:v>
                </c:pt>
              </c:strCache>
            </c:strRef>
          </c:tx>
          <c:spPr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X-R'!$A$3:$A$17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X-R'!$C$3:$C$17</c:f>
              <c:numCache>
                <c:formatCode>0.00</c:formatCode>
                <c:ptCount val="15"/>
                <c:pt idx="0">
                  <c:v>121.41330000000001</c:v>
                </c:pt>
                <c:pt idx="1">
                  <c:v>121.41330000000001</c:v>
                </c:pt>
                <c:pt idx="2">
                  <c:v>121.41330000000001</c:v>
                </c:pt>
                <c:pt idx="3">
                  <c:v>121.41330000000001</c:v>
                </c:pt>
                <c:pt idx="4">
                  <c:v>121.41330000000001</c:v>
                </c:pt>
                <c:pt idx="5">
                  <c:v>121.41330000000001</c:v>
                </c:pt>
                <c:pt idx="6">
                  <c:v>121.41330000000001</c:v>
                </c:pt>
                <c:pt idx="7">
                  <c:v>121.41330000000001</c:v>
                </c:pt>
                <c:pt idx="8">
                  <c:v>121.41330000000001</c:v>
                </c:pt>
                <c:pt idx="9">
                  <c:v>121.41330000000001</c:v>
                </c:pt>
                <c:pt idx="10">
                  <c:v>121.41330000000001</c:v>
                </c:pt>
                <c:pt idx="11">
                  <c:v>121.41330000000001</c:v>
                </c:pt>
                <c:pt idx="12">
                  <c:v>121.41330000000001</c:v>
                </c:pt>
                <c:pt idx="13">
                  <c:v>121.41330000000001</c:v>
                </c:pt>
                <c:pt idx="14">
                  <c:v>121.41330000000001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8D-4C6F-ADFD-D6763071C332}"/>
            </c:ext>
          </c:extLst>
        </c:ser>
        <c:ser>
          <c:idx val="2"/>
          <c:order val="2"/>
          <c:tx>
            <c:strRef>
              <c:f>'Graficas X-R'!$D$2</c:f>
              <c:strCache>
                <c:ptCount val="1"/>
                <c:pt idx="0">
                  <c:v>LCS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X-R'!$A$3:$A$17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X-R'!$D$3:$D$17</c:f>
              <c:numCache>
                <c:formatCode>0.00</c:formatCode>
                <c:ptCount val="15"/>
                <c:pt idx="0">
                  <c:v>123.4136</c:v>
                </c:pt>
                <c:pt idx="1">
                  <c:v>123.4136</c:v>
                </c:pt>
                <c:pt idx="2">
                  <c:v>123.4136</c:v>
                </c:pt>
                <c:pt idx="3">
                  <c:v>123.4136</c:v>
                </c:pt>
                <c:pt idx="4">
                  <c:v>123.4136</c:v>
                </c:pt>
                <c:pt idx="5">
                  <c:v>123.4136</c:v>
                </c:pt>
                <c:pt idx="6">
                  <c:v>123.4136</c:v>
                </c:pt>
                <c:pt idx="7">
                  <c:v>123.4136</c:v>
                </c:pt>
                <c:pt idx="8">
                  <c:v>123.4136</c:v>
                </c:pt>
                <c:pt idx="9">
                  <c:v>123.4136</c:v>
                </c:pt>
                <c:pt idx="10">
                  <c:v>123.4136</c:v>
                </c:pt>
                <c:pt idx="11">
                  <c:v>123.4136</c:v>
                </c:pt>
                <c:pt idx="12">
                  <c:v>123.4136</c:v>
                </c:pt>
                <c:pt idx="13">
                  <c:v>123.4136</c:v>
                </c:pt>
                <c:pt idx="14">
                  <c:v>123.4136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8D-4C6F-ADFD-D6763071C332}"/>
            </c:ext>
          </c:extLst>
        </c:ser>
        <c:ser>
          <c:idx val="3"/>
          <c:order val="3"/>
          <c:tx>
            <c:strRef>
              <c:f>'Graficas X-R'!$E$2</c:f>
              <c:strCache>
                <c:ptCount val="1"/>
                <c:pt idx="0">
                  <c:v>Media (X)</c:v>
                </c:pt>
              </c:strCache>
            </c:strRef>
          </c:tx>
          <c:spPr>
            <a:ln w="2808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X-R'!$A$3:$A$17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X-R'!$E$3:$E$17</c:f>
              <c:numCache>
                <c:formatCode>0.00</c:formatCode>
                <c:ptCount val="15"/>
                <c:pt idx="0">
                  <c:v>120</c:v>
                </c:pt>
                <c:pt idx="1">
                  <c:v>119.6</c:v>
                </c:pt>
                <c:pt idx="2">
                  <c:v>120</c:v>
                </c:pt>
                <c:pt idx="3">
                  <c:v>120.4</c:v>
                </c:pt>
                <c:pt idx="4">
                  <c:v>120</c:v>
                </c:pt>
                <c:pt idx="5">
                  <c:v>121.6</c:v>
                </c:pt>
                <c:pt idx="6">
                  <c:v>119.4</c:v>
                </c:pt>
                <c:pt idx="7">
                  <c:v>138.19999999999999</c:v>
                </c:pt>
                <c:pt idx="8">
                  <c:v>120.6</c:v>
                </c:pt>
                <c:pt idx="9">
                  <c:v>120.4</c:v>
                </c:pt>
                <c:pt idx="10">
                  <c:v>119.6</c:v>
                </c:pt>
                <c:pt idx="11">
                  <c:v>120.8</c:v>
                </c:pt>
                <c:pt idx="12">
                  <c:v>119.8</c:v>
                </c:pt>
                <c:pt idx="13">
                  <c:v>120.4</c:v>
                </c:pt>
                <c:pt idx="14">
                  <c:v>120.4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E8D-4C6F-ADFD-D6763071C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353614"/>
        <c:axId val="22875257"/>
      </c:lineChart>
      <c:catAx>
        <c:axId val="62353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2875257"/>
        <c:crosses val="autoZero"/>
        <c:auto val="1"/>
        <c:lblAlgn val="ctr"/>
        <c:lblOffset val="100"/>
        <c:noMultiLvlLbl val="0"/>
      </c:catAx>
      <c:valAx>
        <c:axId val="22875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2353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Gráfica R (Rangos)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'Graficas X-R'!$H$2</c:f>
              <c:strCache>
                <c:ptCount val="1"/>
                <c:pt idx="0">
                  <c:v>LCI</c:v>
                </c:pt>
              </c:strCache>
            </c:strRef>
          </c:tx>
          <c:spPr>
            <a:ln w="2196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X-R'!$G$3:$G$17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X-R'!$H$3:$H$17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E2-4EB8-AB79-DDEBDECA7C2C}"/>
            </c:ext>
          </c:extLst>
        </c:ser>
        <c:ser>
          <c:idx val="1"/>
          <c:order val="1"/>
          <c:tx>
            <c:strRef>
              <c:f>'Graficas X-R'!$I$2</c:f>
              <c:strCache>
                <c:ptCount val="1"/>
                <c:pt idx="0">
                  <c:v>LC</c:v>
                </c:pt>
              </c:strCache>
            </c:strRef>
          </c:tx>
          <c:spPr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X-R'!$G$3:$G$17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X-R'!$I$3:$I$17</c:f>
              <c:numCache>
                <c:formatCode>0.00</c:formatCode>
                <c:ptCount val="15"/>
                <c:pt idx="0">
                  <c:v>3.4666999999999999</c:v>
                </c:pt>
                <c:pt idx="1">
                  <c:v>3.4666999999999999</c:v>
                </c:pt>
                <c:pt idx="2">
                  <c:v>3.4666999999999999</c:v>
                </c:pt>
                <c:pt idx="3">
                  <c:v>3.4666999999999999</c:v>
                </c:pt>
                <c:pt idx="4">
                  <c:v>3.4666999999999999</c:v>
                </c:pt>
                <c:pt idx="5">
                  <c:v>3.4666999999999999</c:v>
                </c:pt>
                <c:pt idx="6">
                  <c:v>3.4666999999999999</c:v>
                </c:pt>
                <c:pt idx="7">
                  <c:v>3.4666999999999999</c:v>
                </c:pt>
                <c:pt idx="8">
                  <c:v>3.4666999999999999</c:v>
                </c:pt>
                <c:pt idx="9">
                  <c:v>3.4666999999999999</c:v>
                </c:pt>
                <c:pt idx="10">
                  <c:v>3.4666999999999999</c:v>
                </c:pt>
                <c:pt idx="11">
                  <c:v>3.4666999999999999</c:v>
                </c:pt>
                <c:pt idx="12">
                  <c:v>3.4666999999999999</c:v>
                </c:pt>
                <c:pt idx="13">
                  <c:v>3.4666999999999999</c:v>
                </c:pt>
                <c:pt idx="14">
                  <c:v>3.4666999999999999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E2-4EB8-AB79-DDEBDECA7C2C}"/>
            </c:ext>
          </c:extLst>
        </c:ser>
        <c:ser>
          <c:idx val="2"/>
          <c:order val="2"/>
          <c:tx>
            <c:strRef>
              <c:f>'Graficas X-R'!$J$2</c:f>
              <c:strCache>
                <c:ptCount val="1"/>
                <c:pt idx="0">
                  <c:v>LCS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X-R'!$G$3:$G$17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X-R'!$J$3:$J$17</c:f>
              <c:numCache>
                <c:formatCode>0.00</c:formatCode>
                <c:ptCount val="15"/>
                <c:pt idx="0">
                  <c:v>7.3285</c:v>
                </c:pt>
                <c:pt idx="1">
                  <c:v>7.3285</c:v>
                </c:pt>
                <c:pt idx="2">
                  <c:v>7.3285</c:v>
                </c:pt>
                <c:pt idx="3">
                  <c:v>7.3285</c:v>
                </c:pt>
                <c:pt idx="4">
                  <c:v>7.3285</c:v>
                </c:pt>
                <c:pt idx="5">
                  <c:v>7.3285</c:v>
                </c:pt>
                <c:pt idx="6">
                  <c:v>7.3285</c:v>
                </c:pt>
                <c:pt idx="7">
                  <c:v>7.3285</c:v>
                </c:pt>
                <c:pt idx="8">
                  <c:v>7.3285</c:v>
                </c:pt>
                <c:pt idx="9">
                  <c:v>7.3285</c:v>
                </c:pt>
                <c:pt idx="10">
                  <c:v>7.3285</c:v>
                </c:pt>
                <c:pt idx="11">
                  <c:v>7.3285</c:v>
                </c:pt>
                <c:pt idx="12">
                  <c:v>7.3285</c:v>
                </c:pt>
                <c:pt idx="13">
                  <c:v>7.3285</c:v>
                </c:pt>
                <c:pt idx="14">
                  <c:v>7.3285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E2-4EB8-AB79-DDEBDECA7C2C}"/>
            </c:ext>
          </c:extLst>
        </c:ser>
        <c:ser>
          <c:idx val="3"/>
          <c:order val="3"/>
          <c:tx>
            <c:strRef>
              <c:f>'Graficas X-R'!$K$2</c:f>
              <c:strCache>
                <c:ptCount val="1"/>
                <c:pt idx="0">
                  <c:v>Rango (R)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circle"/>
            <c:size val="8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'Graficas X-R'!$G$3:$G$17</c:f>
              <c:numCache>
                <c:formatCode>0.00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'Graficas X-R'!$K$3:$K$17</c:f>
              <c:numCache>
                <c:formatCode>0.00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5E2-4EB8-AB79-DDEBDECA7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736614"/>
        <c:axId val="4742999"/>
      </c:lineChart>
      <c:catAx>
        <c:axId val="25736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742999"/>
        <c:crosses val="autoZero"/>
        <c:auto val="1"/>
        <c:lblAlgn val="ctr"/>
        <c:lblOffset val="100"/>
        <c:noMultiLvlLbl val="0"/>
      </c:catAx>
      <c:valAx>
        <c:axId val="4742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Rango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5736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8</xdr:col>
      <xdr:colOff>25200</xdr:colOff>
      <xdr:row>46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558800</xdr:colOff>
      <xdr:row>18</xdr:row>
      <xdr:rowOff>44451</xdr:rowOff>
    </xdr:from>
    <xdr:to>
      <xdr:col>20</xdr:col>
      <xdr:colOff>31550</xdr:colOff>
      <xdr:row>46</xdr:row>
      <xdr:rowOff>110330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18" customWidth="1"/>
    <col min="3" max="3" width="14" customWidth="1"/>
    <col min="4" max="8" width="12" customWidth="1"/>
  </cols>
  <sheetData>
    <row r="1" spans="1:8" ht="16.8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9" t="s">
        <v>1</v>
      </c>
      <c r="B2" s="9"/>
      <c r="C2" s="9"/>
      <c r="D2" s="9"/>
      <c r="E2" s="9"/>
      <c r="F2" s="9"/>
      <c r="G2" s="9"/>
      <c r="H2" s="9"/>
    </row>
    <row r="4" spans="1:8" x14ac:dyDescent="0.3">
      <c r="A4" s="8" t="s">
        <v>2</v>
      </c>
      <c r="B4" s="8"/>
    </row>
    <row r="5" spans="1:8" x14ac:dyDescent="0.3">
      <c r="A5" s="11" t="s">
        <v>3</v>
      </c>
      <c r="B5" s="12">
        <v>0.57699999999999996</v>
      </c>
    </row>
    <row r="6" spans="1:8" x14ac:dyDescent="0.3">
      <c r="A6" s="11" t="s">
        <v>4</v>
      </c>
      <c r="B6" s="12">
        <v>0</v>
      </c>
    </row>
    <row r="7" spans="1:8" x14ac:dyDescent="0.3">
      <c r="A7" s="11" t="s">
        <v>5</v>
      </c>
      <c r="B7" s="12">
        <v>2.1139999999999999</v>
      </c>
    </row>
    <row r="8" spans="1:8" x14ac:dyDescent="0.3">
      <c r="A8" s="11" t="s">
        <v>6</v>
      </c>
      <c r="B8" s="12">
        <v>2.3260000000000001</v>
      </c>
    </row>
    <row r="10" spans="1:8" x14ac:dyDescent="0.3">
      <c r="A10" s="7" t="s">
        <v>7</v>
      </c>
      <c r="B10" s="7"/>
      <c r="C10" s="7"/>
      <c r="D10" s="7"/>
      <c r="E10" s="7"/>
      <c r="F10" s="7"/>
      <c r="G10" s="7"/>
      <c r="H10" s="7"/>
    </row>
    <row r="11" spans="1:8" x14ac:dyDescent="0.3">
      <c r="A11" s="13" t="s">
        <v>8</v>
      </c>
      <c r="B11" s="13" t="s">
        <v>9</v>
      </c>
      <c r="C11" s="13" t="s">
        <v>10</v>
      </c>
      <c r="D11" s="13" t="s">
        <v>11</v>
      </c>
      <c r="E11" s="13" t="s">
        <v>12</v>
      </c>
      <c r="F11" s="13" t="s">
        <v>13</v>
      </c>
      <c r="G11" s="13" t="s">
        <v>14</v>
      </c>
      <c r="H11" s="13" t="s">
        <v>15</v>
      </c>
    </row>
    <row r="12" spans="1:8" x14ac:dyDescent="0.3">
      <c r="A12" s="14">
        <v>1</v>
      </c>
      <c r="B12" s="14">
        <v>118</v>
      </c>
      <c r="C12" s="14">
        <v>121</v>
      </c>
      <c r="D12" s="14">
        <v>119</v>
      </c>
      <c r="E12" s="14">
        <v>120</v>
      </c>
      <c r="F12" s="14">
        <v>122</v>
      </c>
      <c r="G12" s="15">
        <f t="shared" ref="G12:G26" si="0">AVERAGE(B12:F12)</f>
        <v>120</v>
      </c>
      <c r="H12" s="15">
        <f t="shared" ref="H12:H26" si="1">MAX(B12:F12)-MIN(B12:F12)</f>
        <v>4</v>
      </c>
    </row>
    <row r="13" spans="1:8" x14ac:dyDescent="0.3">
      <c r="A13" s="14">
        <v>2</v>
      </c>
      <c r="B13" s="14">
        <v>120</v>
      </c>
      <c r="C13" s="14">
        <v>119</v>
      </c>
      <c r="D13" s="14">
        <v>121</v>
      </c>
      <c r="E13" s="14">
        <v>118</v>
      </c>
      <c r="F13" s="14">
        <v>120</v>
      </c>
      <c r="G13" s="15">
        <f t="shared" si="0"/>
        <v>119.6</v>
      </c>
      <c r="H13" s="15">
        <f t="shared" si="1"/>
        <v>3</v>
      </c>
    </row>
    <row r="14" spans="1:8" x14ac:dyDescent="0.3">
      <c r="A14" s="14">
        <v>3</v>
      </c>
      <c r="B14" s="14">
        <v>119</v>
      </c>
      <c r="C14" s="14">
        <v>122</v>
      </c>
      <c r="D14" s="14">
        <v>120</v>
      </c>
      <c r="E14" s="14">
        <v>121</v>
      </c>
      <c r="F14" s="14">
        <v>118</v>
      </c>
      <c r="G14" s="15">
        <f t="shared" si="0"/>
        <v>120</v>
      </c>
      <c r="H14" s="15">
        <f t="shared" si="1"/>
        <v>4</v>
      </c>
    </row>
    <row r="15" spans="1:8" x14ac:dyDescent="0.3">
      <c r="A15" s="14">
        <v>4</v>
      </c>
      <c r="B15" s="14">
        <v>121</v>
      </c>
      <c r="C15" s="14">
        <v>120</v>
      </c>
      <c r="D15" s="14">
        <v>119</v>
      </c>
      <c r="E15" s="14">
        <v>122</v>
      </c>
      <c r="F15" s="14">
        <v>120</v>
      </c>
      <c r="G15" s="15">
        <f t="shared" si="0"/>
        <v>120.4</v>
      </c>
      <c r="H15" s="15">
        <f t="shared" si="1"/>
        <v>3</v>
      </c>
    </row>
    <row r="16" spans="1:8" x14ac:dyDescent="0.3">
      <c r="A16" s="14">
        <v>5</v>
      </c>
      <c r="B16" s="14">
        <v>120</v>
      </c>
      <c r="C16" s="14">
        <v>118</v>
      </c>
      <c r="D16" s="14">
        <v>121</v>
      </c>
      <c r="E16" s="14">
        <v>119</v>
      </c>
      <c r="F16" s="14">
        <v>122</v>
      </c>
      <c r="G16" s="15">
        <f t="shared" si="0"/>
        <v>120</v>
      </c>
      <c r="H16" s="15">
        <f t="shared" si="1"/>
        <v>4</v>
      </c>
    </row>
    <row r="17" spans="1:8" x14ac:dyDescent="0.3">
      <c r="A17" s="14">
        <v>6</v>
      </c>
      <c r="B17" s="14">
        <v>122</v>
      </c>
      <c r="C17" s="14">
        <v>121</v>
      </c>
      <c r="D17" s="14">
        <v>123</v>
      </c>
      <c r="E17" s="14">
        <v>120</v>
      </c>
      <c r="F17" s="14">
        <v>122</v>
      </c>
      <c r="G17" s="15">
        <f t="shared" si="0"/>
        <v>121.6</v>
      </c>
      <c r="H17" s="15">
        <f t="shared" si="1"/>
        <v>3</v>
      </c>
    </row>
    <row r="18" spans="1:8" x14ac:dyDescent="0.3">
      <c r="A18" s="14">
        <v>7</v>
      </c>
      <c r="B18" s="14">
        <v>119</v>
      </c>
      <c r="C18" s="14">
        <v>120</v>
      </c>
      <c r="D18" s="14">
        <v>118</v>
      </c>
      <c r="E18" s="14">
        <v>121</v>
      </c>
      <c r="F18" s="14">
        <v>119</v>
      </c>
      <c r="G18" s="15">
        <f t="shared" si="0"/>
        <v>119.4</v>
      </c>
      <c r="H18" s="15">
        <f t="shared" si="1"/>
        <v>3</v>
      </c>
    </row>
    <row r="19" spans="1:8" x14ac:dyDescent="0.3">
      <c r="A19" s="16">
        <v>8</v>
      </c>
      <c r="B19" s="16">
        <v>135</v>
      </c>
      <c r="C19" s="16">
        <v>140</v>
      </c>
      <c r="D19" s="16">
        <v>138</v>
      </c>
      <c r="E19" s="16">
        <v>142</v>
      </c>
      <c r="F19" s="16">
        <v>136</v>
      </c>
      <c r="G19" s="17">
        <f t="shared" si="0"/>
        <v>138.19999999999999</v>
      </c>
      <c r="H19" s="17">
        <f t="shared" si="1"/>
        <v>7</v>
      </c>
    </row>
    <row r="20" spans="1:8" x14ac:dyDescent="0.3">
      <c r="A20" s="14">
        <v>9</v>
      </c>
      <c r="B20" s="14">
        <v>121</v>
      </c>
      <c r="C20" s="14">
        <v>119</v>
      </c>
      <c r="D20" s="14">
        <v>122</v>
      </c>
      <c r="E20" s="14">
        <v>120</v>
      </c>
      <c r="F20" s="14">
        <v>121</v>
      </c>
      <c r="G20" s="15">
        <f t="shared" si="0"/>
        <v>120.6</v>
      </c>
      <c r="H20" s="15">
        <f t="shared" si="1"/>
        <v>3</v>
      </c>
    </row>
    <row r="21" spans="1:8" x14ac:dyDescent="0.3">
      <c r="A21" s="14">
        <v>10</v>
      </c>
      <c r="B21" s="14">
        <v>120</v>
      </c>
      <c r="C21" s="14">
        <v>121</v>
      </c>
      <c r="D21" s="14">
        <v>119</v>
      </c>
      <c r="E21" s="14">
        <v>122</v>
      </c>
      <c r="F21" s="14">
        <v>120</v>
      </c>
      <c r="G21" s="15">
        <f t="shared" si="0"/>
        <v>120.4</v>
      </c>
      <c r="H21" s="15">
        <f t="shared" si="1"/>
        <v>3</v>
      </c>
    </row>
    <row r="22" spans="1:8" x14ac:dyDescent="0.3">
      <c r="A22" s="14">
        <v>11</v>
      </c>
      <c r="B22" s="14">
        <v>118</v>
      </c>
      <c r="C22" s="14">
        <v>120</v>
      </c>
      <c r="D22" s="14">
        <v>119</v>
      </c>
      <c r="E22" s="14">
        <v>121</v>
      </c>
      <c r="F22" s="14">
        <v>120</v>
      </c>
      <c r="G22" s="15">
        <f t="shared" si="0"/>
        <v>119.6</v>
      </c>
      <c r="H22" s="15">
        <f t="shared" si="1"/>
        <v>3</v>
      </c>
    </row>
    <row r="23" spans="1:8" x14ac:dyDescent="0.3">
      <c r="A23" s="14">
        <v>12</v>
      </c>
      <c r="B23" s="14">
        <v>122</v>
      </c>
      <c r="C23" s="14">
        <v>120</v>
      </c>
      <c r="D23" s="14">
        <v>121</v>
      </c>
      <c r="E23" s="14">
        <v>119</v>
      </c>
      <c r="F23" s="14">
        <v>122</v>
      </c>
      <c r="G23" s="15">
        <f t="shared" si="0"/>
        <v>120.8</v>
      </c>
      <c r="H23" s="15">
        <f t="shared" si="1"/>
        <v>3</v>
      </c>
    </row>
    <row r="24" spans="1:8" x14ac:dyDescent="0.3">
      <c r="A24" s="14">
        <v>13</v>
      </c>
      <c r="B24" s="14">
        <v>119</v>
      </c>
      <c r="C24" s="14">
        <v>121</v>
      </c>
      <c r="D24" s="14">
        <v>120</v>
      </c>
      <c r="E24" s="14">
        <v>118</v>
      </c>
      <c r="F24" s="14">
        <v>121</v>
      </c>
      <c r="G24" s="15">
        <f t="shared" si="0"/>
        <v>119.8</v>
      </c>
      <c r="H24" s="15">
        <f t="shared" si="1"/>
        <v>3</v>
      </c>
    </row>
    <row r="25" spans="1:8" x14ac:dyDescent="0.3">
      <c r="A25" s="14">
        <v>14</v>
      </c>
      <c r="B25" s="14">
        <v>120</v>
      </c>
      <c r="C25" s="14">
        <v>122</v>
      </c>
      <c r="D25" s="14">
        <v>121</v>
      </c>
      <c r="E25" s="14">
        <v>119</v>
      </c>
      <c r="F25" s="14">
        <v>120</v>
      </c>
      <c r="G25" s="15">
        <f t="shared" si="0"/>
        <v>120.4</v>
      </c>
      <c r="H25" s="15">
        <f t="shared" si="1"/>
        <v>3</v>
      </c>
    </row>
    <row r="26" spans="1:8" x14ac:dyDescent="0.3">
      <c r="A26" s="14">
        <v>15</v>
      </c>
      <c r="B26" s="14">
        <v>121</v>
      </c>
      <c r="C26" s="14">
        <v>120</v>
      </c>
      <c r="D26" s="14">
        <v>122</v>
      </c>
      <c r="E26" s="14">
        <v>120</v>
      </c>
      <c r="F26" s="14">
        <v>119</v>
      </c>
      <c r="G26" s="15">
        <f t="shared" si="0"/>
        <v>120.4</v>
      </c>
      <c r="H26" s="15">
        <f t="shared" si="1"/>
        <v>3</v>
      </c>
    </row>
    <row r="28" spans="1:8" x14ac:dyDescent="0.3">
      <c r="A28" s="6" t="s">
        <v>16</v>
      </c>
      <c r="B28" s="6"/>
      <c r="C28" s="6"/>
    </row>
    <row r="29" spans="1:8" x14ac:dyDescent="0.3">
      <c r="A29" s="18" t="s">
        <v>17</v>
      </c>
      <c r="B29" s="19" t="s">
        <v>18</v>
      </c>
      <c r="C29" s="20">
        <f>AVERAGE(G12:G26)</f>
        <v>121.41333333333334</v>
      </c>
    </row>
    <row r="30" spans="1:8" x14ac:dyDescent="0.3">
      <c r="A30" s="18" t="s">
        <v>19</v>
      </c>
      <c r="B30" s="19" t="s">
        <v>20</v>
      </c>
      <c r="C30" s="20">
        <f>AVERAGE(H12:H26)</f>
        <v>3.4666666666666668</v>
      </c>
    </row>
    <row r="31" spans="1:8" x14ac:dyDescent="0.3">
      <c r="A31" s="18" t="s">
        <v>21</v>
      </c>
      <c r="B31" s="19" t="s">
        <v>22</v>
      </c>
      <c r="C31" s="21">
        <f>C30/B8</f>
        <v>1.4903983949555746</v>
      </c>
    </row>
    <row r="32" spans="1:8" x14ac:dyDescent="0.3">
      <c r="A32" s="19"/>
      <c r="B32" s="19"/>
      <c r="C32" s="19"/>
    </row>
    <row r="33" spans="1:4" x14ac:dyDescent="0.3">
      <c r="A33" s="5" t="s">
        <v>23</v>
      </c>
      <c r="B33" s="5"/>
      <c r="C33" s="5"/>
    </row>
    <row r="34" spans="1:4" x14ac:dyDescent="0.3">
      <c r="A34" s="22" t="s">
        <v>24</v>
      </c>
      <c r="B34" s="19" t="s">
        <v>25</v>
      </c>
      <c r="C34" s="23">
        <f>C29+B5*C30</f>
        <v>123.4136</v>
      </c>
    </row>
    <row r="35" spans="1:4" x14ac:dyDescent="0.3">
      <c r="A35" s="19" t="s">
        <v>26</v>
      </c>
      <c r="B35" s="19" t="s">
        <v>27</v>
      </c>
      <c r="C35" s="20">
        <f>C29</f>
        <v>121.41333333333334</v>
      </c>
    </row>
    <row r="36" spans="1:4" x14ac:dyDescent="0.3">
      <c r="A36" s="24" t="s">
        <v>28</v>
      </c>
      <c r="B36" s="19" t="s">
        <v>29</v>
      </c>
      <c r="C36" s="25">
        <f>C29-B5*C30</f>
        <v>119.41306666666668</v>
      </c>
    </row>
    <row r="37" spans="1:4" x14ac:dyDescent="0.3">
      <c r="A37" s="19"/>
      <c r="B37" s="19"/>
      <c r="C37" s="19"/>
    </row>
    <row r="38" spans="1:4" x14ac:dyDescent="0.3">
      <c r="A38" s="5" t="s">
        <v>30</v>
      </c>
      <c r="B38" s="5"/>
      <c r="C38" s="5"/>
    </row>
    <row r="39" spans="1:4" x14ac:dyDescent="0.3">
      <c r="A39" s="22" t="s">
        <v>31</v>
      </c>
      <c r="B39" s="19" t="s">
        <v>32</v>
      </c>
      <c r="C39" s="23">
        <f>B7*C30</f>
        <v>7.3285333333333336</v>
      </c>
    </row>
    <row r="40" spans="1:4" x14ac:dyDescent="0.3">
      <c r="A40" s="19" t="s">
        <v>33</v>
      </c>
      <c r="B40" s="19" t="s">
        <v>34</v>
      </c>
      <c r="C40" s="20">
        <f>C30</f>
        <v>3.4666666666666668</v>
      </c>
    </row>
    <row r="41" spans="1:4" x14ac:dyDescent="0.3">
      <c r="A41" s="24" t="s">
        <v>35</v>
      </c>
      <c r="B41" s="19" t="s">
        <v>36</v>
      </c>
      <c r="C41" s="25">
        <f>B6*C30</f>
        <v>0</v>
      </c>
    </row>
    <row r="43" spans="1:4" x14ac:dyDescent="0.3">
      <c r="A43" s="4" t="s">
        <v>37</v>
      </c>
      <c r="B43" s="4"/>
      <c r="C43" s="4"/>
      <c r="D43" s="4"/>
    </row>
    <row r="44" spans="1:4" x14ac:dyDescent="0.3">
      <c r="A44" s="3" t="s">
        <v>38</v>
      </c>
      <c r="B44" s="3"/>
      <c r="C44" s="3"/>
      <c r="D44" s="3"/>
    </row>
    <row r="45" spans="1:4" x14ac:dyDescent="0.3">
      <c r="A45" s="2" t="s">
        <v>39</v>
      </c>
      <c r="B45" s="2"/>
      <c r="C45" s="2"/>
      <c r="D45" s="2"/>
    </row>
    <row r="46" spans="1:4" x14ac:dyDescent="0.3">
      <c r="A46" s="1" t="s">
        <v>40</v>
      </c>
      <c r="B46" s="1"/>
      <c r="C46" s="1"/>
      <c r="D46" s="1"/>
    </row>
    <row r="47" spans="1:4" x14ac:dyDescent="0.3">
      <c r="A47" s="1" t="s">
        <v>41</v>
      </c>
      <c r="B47" s="1"/>
      <c r="C47" s="1"/>
      <c r="D47" s="1"/>
    </row>
  </sheetData>
  <mergeCells count="12">
    <mergeCell ref="A46:D46"/>
    <mergeCell ref="A47:D47"/>
    <mergeCell ref="A33:C33"/>
    <mergeCell ref="A38:C38"/>
    <mergeCell ref="A43:D43"/>
    <mergeCell ref="A44:D44"/>
    <mergeCell ref="A45:D45"/>
    <mergeCell ref="A1:H1"/>
    <mergeCell ref="A2:H2"/>
    <mergeCell ref="A4:B4"/>
    <mergeCell ref="A10:H10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topLeftCell="A8" zoomScale="40" zoomScaleNormal="90" workbookViewId="0">
      <selection activeCell="AE41" sqref="AE41"/>
    </sheetView>
  </sheetViews>
  <sheetFormatPr baseColWidth="10" defaultColWidth="8.6640625" defaultRowHeight="14.4" x14ac:dyDescent="0.3"/>
  <cols>
    <col min="1" max="11" width="14" customWidth="1"/>
  </cols>
  <sheetData>
    <row r="1" spans="1:11" x14ac:dyDescent="0.3">
      <c r="A1" s="8" t="s">
        <v>42</v>
      </c>
      <c r="B1" s="8"/>
      <c r="C1" s="8"/>
      <c r="D1" s="8"/>
      <c r="E1" s="8"/>
      <c r="G1" s="8" t="s">
        <v>43</v>
      </c>
      <c r="H1" s="8"/>
      <c r="I1" s="8"/>
      <c r="J1" s="8"/>
      <c r="K1" s="8"/>
    </row>
    <row r="2" spans="1:11" x14ac:dyDescent="0.3">
      <c r="A2" s="13" t="s">
        <v>44</v>
      </c>
      <c r="B2" s="13" t="s">
        <v>45</v>
      </c>
      <c r="C2" s="13" t="s">
        <v>46</v>
      </c>
      <c r="D2" s="13" t="s">
        <v>47</v>
      </c>
      <c r="E2" s="13" t="s">
        <v>14</v>
      </c>
      <c r="G2" s="13" t="s">
        <v>44</v>
      </c>
      <c r="H2" s="13" t="s">
        <v>45</v>
      </c>
      <c r="I2" s="13" t="s">
        <v>46</v>
      </c>
      <c r="J2" s="13" t="s">
        <v>47</v>
      </c>
      <c r="K2" s="13" t="s">
        <v>15</v>
      </c>
    </row>
    <row r="3" spans="1:11" x14ac:dyDescent="0.3">
      <c r="A3" s="26">
        <v>1</v>
      </c>
      <c r="B3" s="26">
        <v>119.4131</v>
      </c>
      <c r="C3" s="26">
        <v>121.41330000000001</v>
      </c>
      <c r="D3" s="26">
        <v>123.4136</v>
      </c>
      <c r="E3" s="26">
        <v>120</v>
      </c>
      <c r="G3" s="26">
        <v>1</v>
      </c>
      <c r="H3" s="26">
        <v>0</v>
      </c>
      <c r="I3" s="26">
        <v>3.4666999999999999</v>
      </c>
      <c r="J3" s="26">
        <v>7.3285</v>
      </c>
      <c r="K3" s="26">
        <v>4</v>
      </c>
    </row>
    <row r="4" spans="1:11" x14ac:dyDescent="0.3">
      <c r="A4" s="26">
        <v>2</v>
      </c>
      <c r="B4" s="26">
        <v>119.4131</v>
      </c>
      <c r="C4" s="26">
        <v>121.41330000000001</v>
      </c>
      <c r="D4" s="26">
        <v>123.4136</v>
      </c>
      <c r="E4" s="26">
        <v>119.6</v>
      </c>
      <c r="G4" s="26">
        <v>2</v>
      </c>
      <c r="H4" s="26">
        <v>0</v>
      </c>
      <c r="I4" s="26">
        <v>3.4666999999999999</v>
      </c>
      <c r="J4" s="26">
        <v>7.3285</v>
      </c>
      <c r="K4" s="26">
        <v>3</v>
      </c>
    </row>
    <row r="5" spans="1:11" x14ac:dyDescent="0.3">
      <c r="A5" s="26">
        <v>3</v>
      </c>
      <c r="B5" s="26">
        <v>119.4131</v>
      </c>
      <c r="C5" s="26">
        <v>121.41330000000001</v>
      </c>
      <c r="D5" s="26">
        <v>123.4136</v>
      </c>
      <c r="E5" s="26">
        <v>120</v>
      </c>
      <c r="G5" s="26">
        <v>3</v>
      </c>
      <c r="H5" s="26">
        <v>0</v>
      </c>
      <c r="I5" s="26">
        <v>3.4666999999999999</v>
      </c>
      <c r="J5" s="26">
        <v>7.3285</v>
      </c>
      <c r="K5" s="26">
        <v>4</v>
      </c>
    </row>
    <row r="6" spans="1:11" x14ac:dyDescent="0.3">
      <c r="A6" s="26">
        <v>4</v>
      </c>
      <c r="B6" s="26">
        <v>119.4131</v>
      </c>
      <c r="C6" s="26">
        <v>121.41330000000001</v>
      </c>
      <c r="D6" s="26">
        <v>123.4136</v>
      </c>
      <c r="E6" s="26">
        <v>120.4</v>
      </c>
      <c r="G6" s="26">
        <v>4</v>
      </c>
      <c r="H6" s="26">
        <v>0</v>
      </c>
      <c r="I6" s="26">
        <v>3.4666999999999999</v>
      </c>
      <c r="J6" s="26">
        <v>7.3285</v>
      </c>
      <c r="K6" s="26">
        <v>3</v>
      </c>
    </row>
    <row r="7" spans="1:11" x14ac:dyDescent="0.3">
      <c r="A7" s="26">
        <v>5</v>
      </c>
      <c r="B7" s="26">
        <v>119.4131</v>
      </c>
      <c r="C7" s="26">
        <v>121.41330000000001</v>
      </c>
      <c r="D7" s="26">
        <v>123.4136</v>
      </c>
      <c r="E7" s="26">
        <v>120</v>
      </c>
      <c r="G7" s="26">
        <v>5</v>
      </c>
      <c r="H7" s="26">
        <v>0</v>
      </c>
      <c r="I7" s="26">
        <v>3.4666999999999999</v>
      </c>
      <c r="J7" s="26">
        <v>7.3285</v>
      </c>
      <c r="K7" s="26">
        <v>4</v>
      </c>
    </row>
    <row r="8" spans="1:11" x14ac:dyDescent="0.3">
      <c r="A8" s="26">
        <v>6</v>
      </c>
      <c r="B8" s="26">
        <v>119.4131</v>
      </c>
      <c r="C8" s="26">
        <v>121.41330000000001</v>
      </c>
      <c r="D8" s="26">
        <v>123.4136</v>
      </c>
      <c r="E8" s="26">
        <v>121.6</v>
      </c>
      <c r="G8" s="26">
        <v>6</v>
      </c>
      <c r="H8" s="26">
        <v>0</v>
      </c>
      <c r="I8" s="26">
        <v>3.4666999999999999</v>
      </c>
      <c r="J8" s="26">
        <v>7.3285</v>
      </c>
      <c r="K8" s="26">
        <v>3</v>
      </c>
    </row>
    <row r="9" spans="1:11" x14ac:dyDescent="0.3">
      <c r="A9" s="26">
        <v>7</v>
      </c>
      <c r="B9" s="26">
        <v>119.4131</v>
      </c>
      <c r="C9" s="26">
        <v>121.41330000000001</v>
      </c>
      <c r="D9" s="26">
        <v>123.4136</v>
      </c>
      <c r="E9" s="26">
        <v>119.4</v>
      </c>
      <c r="G9" s="26">
        <v>7</v>
      </c>
      <c r="H9" s="26">
        <v>0</v>
      </c>
      <c r="I9" s="26">
        <v>3.4666999999999999</v>
      </c>
      <c r="J9" s="26">
        <v>7.3285</v>
      </c>
      <c r="K9" s="26">
        <v>3</v>
      </c>
    </row>
    <row r="10" spans="1:11" x14ac:dyDescent="0.3">
      <c r="A10" s="26">
        <v>8</v>
      </c>
      <c r="B10" s="26">
        <v>119.4131</v>
      </c>
      <c r="C10" s="26">
        <v>121.41330000000001</v>
      </c>
      <c r="D10" s="26">
        <v>123.4136</v>
      </c>
      <c r="E10" s="26">
        <v>138.19999999999999</v>
      </c>
      <c r="G10" s="26">
        <v>8</v>
      </c>
      <c r="H10" s="26">
        <v>0</v>
      </c>
      <c r="I10" s="26">
        <v>3.4666999999999999</v>
      </c>
      <c r="J10" s="26">
        <v>7.3285</v>
      </c>
      <c r="K10" s="26">
        <v>7</v>
      </c>
    </row>
    <row r="11" spans="1:11" x14ac:dyDescent="0.3">
      <c r="A11" s="26">
        <v>9</v>
      </c>
      <c r="B11" s="26">
        <v>119.4131</v>
      </c>
      <c r="C11" s="26">
        <v>121.41330000000001</v>
      </c>
      <c r="D11" s="26">
        <v>123.4136</v>
      </c>
      <c r="E11" s="26">
        <v>120.6</v>
      </c>
      <c r="G11" s="26">
        <v>9</v>
      </c>
      <c r="H11" s="26">
        <v>0</v>
      </c>
      <c r="I11" s="26">
        <v>3.4666999999999999</v>
      </c>
      <c r="J11" s="26">
        <v>7.3285</v>
      </c>
      <c r="K11" s="26">
        <v>3</v>
      </c>
    </row>
    <row r="12" spans="1:11" x14ac:dyDescent="0.3">
      <c r="A12" s="26">
        <v>10</v>
      </c>
      <c r="B12" s="26">
        <v>119.4131</v>
      </c>
      <c r="C12" s="26">
        <v>121.41330000000001</v>
      </c>
      <c r="D12" s="26">
        <v>123.4136</v>
      </c>
      <c r="E12" s="26">
        <v>120.4</v>
      </c>
      <c r="G12" s="26">
        <v>10</v>
      </c>
      <c r="H12" s="26">
        <v>0</v>
      </c>
      <c r="I12" s="26">
        <v>3.4666999999999999</v>
      </c>
      <c r="J12" s="26">
        <v>7.3285</v>
      </c>
      <c r="K12" s="26">
        <v>3</v>
      </c>
    </row>
    <row r="13" spans="1:11" x14ac:dyDescent="0.3">
      <c r="A13" s="26">
        <v>11</v>
      </c>
      <c r="B13" s="26">
        <v>119.4131</v>
      </c>
      <c r="C13" s="26">
        <v>121.41330000000001</v>
      </c>
      <c r="D13" s="26">
        <v>123.4136</v>
      </c>
      <c r="E13" s="26">
        <v>119.6</v>
      </c>
      <c r="G13" s="26">
        <v>11</v>
      </c>
      <c r="H13" s="26">
        <v>0</v>
      </c>
      <c r="I13" s="26">
        <v>3.4666999999999999</v>
      </c>
      <c r="J13" s="26">
        <v>7.3285</v>
      </c>
      <c r="K13" s="26">
        <v>3</v>
      </c>
    </row>
    <row r="14" spans="1:11" x14ac:dyDescent="0.3">
      <c r="A14" s="26">
        <v>12</v>
      </c>
      <c r="B14" s="26">
        <v>119.4131</v>
      </c>
      <c r="C14" s="26">
        <v>121.41330000000001</v>
      </c>
      <c r="D14" s="26">
        <v>123.4136</v>
      </c>
      <c r="E14" s="26">
        <v>120.8</v>
      </c>
      <c r="G14" s="26">
        <v>12</v>
      </c>
      <c r="H14" s="26">
        <v>0</v>
      </c>
      <c r="I14" s="26">
        <v>3.4666999999999999</v>
      </c>
      <c r="J14" s="26">
        <v>7.3285</v>
      </c>
      <c r="K14" s="26">
        <v>3</v>
      </c>
    </row>
    <row r="15" spans="1:11" x14ac:dyDescent="0.3">
      <c r="A15" s="26">
        <v>13</v>
      </c>
      <c r="B15" s="26">
        <v>119.4131</v>
      </c>
      <c r="C15" s="26">
        <v>121.41330000000001</v>
      </c>
      <c r="D15" s="26">
        <v>123.4136</v>
      </c>
      <c r="E15" s="26">
        <v>119.8</v>
      </c>
      <c r="G15" s="26">
        <v>13</v>
      </c>
      <c r="H15" s="26">
        <v>0</v>
      </c>
      <c r="I15" s="26">
        <v>3.4666999999999999</v>
      </c>
      <c r="J15" s="26">
        <v>7.3285</v>
      </c>
      <c r="K15" s="26">
        <v>3</v>
      </c>
    </row>
    <row r="16" spans="1:11" x14ac:dyDescent="0.3">
      <c r="A16" s="26">
        <v>14</v>
      </c>
      <c r="B16" s="26">
        <v>119.4131</v>
      </c>
      <c r="C16" s="26">
        <v>121.41330000000001</v>
      </c>
      <c r="D16" s="26">
        <v>123.4136</v>
      </c>
      <c r="E16" s="26">
        <v>120.4</v>
      </c>
      <c r="G16" s="26">
        <v>14</v>
      </c>
      <c r="H16" s="26">
        <v>0</v>
      </c>
      <c r="I16" s="26">
        <v>3.4666999999999999</v>
      </c>
      <c r="J16" s="26">
        <v>7.3285</v>
      </c>
      <c r="K16" s="26">
        <v>3</v>
      </c>
    </row>
    <row r="17" spans="1:11" x14ac:dyDescent="0.3">
      <c r="A17" s="26">
        <v>15</v>
      </c>
      <c r="B17" s="26">
        <v>119.4131</v>
      </c>
      <c r="C17" s="26">
        <v>121.41330000000001</v>
      </c>
      <c r="D17" s="26">
        <v>123.4136</v>
      </c>
      <c r="E17" s="26">
        <v>120.4</v>
      </c>
      <c r="G17" s="26">
        <v>15</v>
      </c>
      <c r="H17" s="26">
        <v>0</v>
      </c>
      <c r="I17" s="26">
        <v>3.4666999999999999</v>
      </c>
      <c r="J17" s="26">
        <v>7.3285</v>
      </c>
      <c r="K17" s="26">
        <v>3</v>
      </c>
    </row>
  </sheetData>
  <mergeCells count="2">
    <mergeCell ref="A1:E1"/>
    <mergeCell ref="G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Graficas X-R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sotomaytamila@gmail.com</cp:lastModifiedBy>
  <cp:revision>1</cp:revision>
  <dcterms:created xsi:type="dcterms:W3CDTF">2026-07-04T13:36:15Z</dcterms:created>
  <dcterms:modified xsi:type="dcterms:W3CDTF">2026-07-04T13:59:23Z</dcterms:modified>
  <dc:language>en-US</dc:language>
</cp:coreProperties>
</file>