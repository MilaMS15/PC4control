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Grafica 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<sst xmlns="http://schemas.openxmlformats.org/spreadsheetml/2006/main" count="48" uniqueCount="43">
  <si>
    <t xml:space="preserve">PROBLEMA 2: Transacciones fallidas por error de validacion</t>
  </si>
  <si>
    <t xml:space="preserve">GRAFICA p (proporcion defectuosa) | n VARIABLE | 16 dias</t>
  </si>
  <si>
    <t xml:space="preserve">p̄</t>
  </si>
  <si>
    <t xml:space="preserve">1. IDENTIFICACION: Grafica p - porque contamos PROPORCION de fallidas y n VARIA diariamente</t>
  </si>
  <si>
    <t xml:space="preserve">No es np porque n varia | No es c/u porque contamos unidades defectuosas, no defectos por unidad</t>
  </si>
  <si>
    <t xml:space="preserve">FORMULAS GRAFICA p</t>
  </si>
  <si>
    <t xml:space="preserve">p̄ =</t>
  </si>
  <si>
    <t xml:space="preserve">Total fallidas / Total inspeccionadas</t>
  </si>
  <si>
    <t xml:space="preserve">LCS =</t>
  </si>
  <si>
    <t xml:space="preserve">p̄ + 3√(p̄(1-p̄)/ni)  ← VARIABLE por cada ni</t>
  </si>
  <si>
    <t xml:space="preserve">LC =</t>
  </si>
  <si>
    <t xml:space="preserve">LCI =</t>
  </si>
  <si>
    <t xml:space="preserve">p̄ - 3√(p̄(1-p̄)/ni)  ← VARIABLE (min 0)</t>
  </si>
  <si>
    <t xml:space="preserve">2. TABLA DE DATOS Y CALCULOS</t>
  </si>
  <si>
    <t xml:space="preserve">Dia</t>
  </si>
  <si>
    <t xml:space="preserve">n (transac.)</t>
  </si>
  <si>
    <t xml:space="preserve">Fallidas</t>
  </si>
  <si>
    <t xml:space="preserve">pi = Fallidas/n</t>
  </si>
  <si>
    <t xml:space="preserve">LCI</t>
  </si>
  <si>
    <t xml:space="preserve">LC (p̄)</t>
  </si>
  <si>
    <t xml:space="preserve">LCS</t>
  </si>
  <si>
    <t xml:space="preserve">Estado</t>
  </si>
  <si>
    <t xml:space="preserve">ESTADISTICAS</t>
  </si>
  <si>
    <t xml:space="preserve">Total fallidas:</t>
  </si>
  <si>
    <t xml:space="preserve">Total inspeccionadas:</t>
  </si>
  <si>
    <t xml:space="preserve">p̄ (proporcion media):</t>
  </si>
  <si>
    <t xml:space="preserve">n̄ (promedio muestra):</t>
  </si>
  <si>
    <t xml:space="preserve">3. INTERPRETACION</t>
  </si>
  <si>
    <t xml:space="preserve">Si todos los puntos estan dentro de los limites variables:</t>
  </si>
  <si>
    <t xml:space="preserve">El proceso de validacion esta BAJO CONTROL ESTADISTICO</t>
  </si>
  <si>
    <t xml:space="preserve">La tasa de rechazo es estable y predecible (~1.4%)</t>
  </si>
  <si>
    <t xml:space="preserve">Para el reporte de riesgo operacional ante reguladores:</t>
  </si>
  <si>
    <t xml:space="preserve">  - Se puede reportar que el proceso es ESTABLE y PREDECIBLE</t>
  </si>
  <si>
    <t xml:space="preserve">  - La tasa de error esta dentro de los margenes esperados</t>
  </si>
  <si>
    <t xml:space="preserve">  - No se requieren acciones correctivas inmediatas</t>
  </si>
  <si>
    <t xml:space="preserve">  - Se recomienda seguir monitoreando con la carta p</t>
  </si>
  <si>
    <t xml:space="preserve">RUTA MINITAB</t>
  </si>
  <si>
    <t xml:space="preserve">1. Ingresar datos: C1=Fallidas, C2=n (transacciones)</t>
  </si>
  <si>
    <t xml:space="preserve">2. Stat &gt; Control Charts &gt; Attributes Charts &gt; P</t>
  </si>
  <si>
    <t xml:space="preserve">3. Variables: C1 (Fallidas) | Subgroup sizes: C2</t>
  </si>
  <si>
    <t xml:space="preserve">4. OK -&gt; Minitab genera grafica p con limites variables</t>
  </si>
  <si>
    <t xml:space="preserve">DATOS PARA GRAFICA p (LIMITES VARIABLES)</t>
  </si>
  <si>
    <t xml:space="preserve">pi (proporcion)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</si>
</sst>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00"/>
    <numFmt numFmtId="166" formatCode="General"/>
    <numFmt numFmtId="167" formatCode="0.00"/>
    <numFmt numFmtId="168" formatCode="0.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00B05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  <fill>
      <patternFill patternType="solid">
        <fgColor rgb="FFFFF2CC"/>
        <bgColor rgb="FFFFFFFF"/>
      </patternFill>
    </fill>
    <fill>
      <patternFill patternType="solid">
        <fgColor rgb="FFFFC000"/>
        <bgColor rgb="FFFF99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Gráfica p (Proporción defectuosa) - Límites Variables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'Grafica p'!B2</c:f>
              <c:strCache>
                <c:ptCount val="1"/>
                <c:pt idx="0">
                  <c:v>LCI</c:v>
                </c:pt>
              </c:strCache>
            </c:strRef>
          </c:tx>
          <c:spPr>
            <a:solidFill>
              <a:srgbClr val="0070c0"/>
            </a:solidFill>
            <a:ln w="21960">
              <a:solidFill>
                <a:srgbClr val="0070c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'Grafica p'!$A$3:$A$18</c:f>
              <c:strCache>
                <c:ptCount val="16"/>
                <c:pt idx="0">
                  <c:v>1.000000</c:v>
                </c:pt>
                <c:pt idx="1">
                  <c:v>2.000000</c:v>
                </c:pt>
                <c:pt idx="2">
                  <c:v>3.000000</c:v>
                </c:pt>
                <c:pt idx="3">
                  <c:v>4.000000</c:v>
                </c:pt>
                <c:pt idx="4">
                  <c:v>5.000000</c:v>
                </c:pt>
                <c:pt idx="5">
                  <c:v>6.000000</c:v>
                </c:pt>
                <c:pt idx="6">
                  <c:v>7.000000</c:v>
                </c:pt>
                <c:pt idx="7">
                  <c:v>8.000000</c:v>
                </c:pt>
                <c:pt idx="8">
                  <c:v>9.000000</c:v>
                </c:pt>
                <c:pt idx="9">
                  <c:v>10.000000</c:v>
                </c:pt>
                <c:pt idx="10">
                  <c:v>11.000000</c:v>
                </c:pt>
                <c:pt idx="11">
                  <c:v>12.000000</c:v>
                </c:pt>
                <c:pt idx="12">
                  <c:v>13.000000</c:v>
                </c:pt>
                <c:pt idx="13">
                  <c:v>14.000000</c:v>
                </c:pt>
                <c:pt idx="14">
                  <c:v>15.000000</c:v>
                </c:pt>
                <c:pt idx="15">
                  <c:v>16.000000</c:v>
                </c:pt>
              </c:strCache>
            </c:strRef>
          </c:cat>
          <c:val>
            <c:numRef>
              <c:f>'Grafica p'!$B$3:$B$18</c:f>
              <c:numCache>
                <c:formatCode>0.000000</c:formatCode>
                <c:ptCount val="16"/>
                <c:pt idx="0">
                  <c:v>0.002435</c:v>
                </c:pt>
                <c:pt idx="1">
                  <c:v>0.003316</c:v>
                </c:pt>
                <c:pt idx="2">
                  <c:v>0.001714</c:v>
                </c:pt>
                <c:pt idx="3">
                  <c:v>0.004026</c:v>
                </c:pt>
                <c:pt idx="4">
                  <c:v>0.002752</c:v>
                </c:pt>
                <c:pt idx="5">
                  <c:v>0.003569</c:v>
                </c:pt>
                <c:pt idx="6">
                  <c:v>0.002091</c:v>
                </c:pt>
                <c:pt idx="7">
                  <c:v>0.003044</c:v>
                </c:pt>
                <c:pt idx="8">
                  <c:v>0.003805</c:v>
                </c:pt>
                <c:pt idx="9">
                  <c:v>0.002435</c:v>
                </c:pt>
                <c:pt idx="10">
                  <c:v>0.003316</c:v>
                </c:pt>
                <c:pt idx="11">
                  <c:v>0.001714</c:v>
                </c:pt>
                <c:pt idx="12">
                  <c:v>0.004026</c:v>
                </c:pt>
                <c:pt idx="13">
                  <c:v>0.002752</c:v>
                </c:pt>
                <c:pt idx="14">
                  <c:v>0.003569</c:v>
                </c:pt>
                <c:pt idx="15">
                  <c:v>0.003044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'Grafica p'!C2</c:f>
              <c:strCache>
                <c:ptCount val="1"/>
                <c:pt idx="0">
                  <c:v>LC (p̄)</c:v>
                </c:pt>
              </c:strCache>
            </c:strRef>
          </c:tx>
          <c:spPr>
            <a:solidFill>
              <a:srgbClr val="ffc000"/>
            </a:solidFill>
            <a:ln w="219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'Grafica p'!$A$3:$A$18</c:f>
              <c:strCache>
                <c:ptCount val="16"/>
                <c:pt idx="0">
                  <c:v>1.000000</c:v>
                </c:pt>
                <c:pt idx="1">
                  <c:v>2.000000</c:v>
                </c:pt>
                <c:pt idx="2">
                  <c:v>3.000000</c:v>
                </c:pt>
                <c:pt idx="3">
                  <c:v>4.000000</c:v>
                </c:pt>
                <c:pt idx="4">
                  <c:v>5.000000</c:v>
                </c:pt>
                <c:pt idx="5">
                  <c:v>6.000000</c:v>
                </c:pt>
                <c:pt idx="6">
                  <c:v>7.000000</c:v>
                </c:pt>
                <c:pt idx="7">
                  <c:v>8.000000</c:v>
                </c:pt>
                <c:pt idx="8">
                  <c:v>9.000000</c:v>
                </c:pt>
                <c:pt idx="9">
                  <c:v>10.000000</c:v>
                </c:pt>
                <c:pt idx="10">
                  <c:v>11.000000</c:v>
                </c:pt>
                <c:pt idx="11">
                  <c:v>12.000000</c:v>
                </c:pt>
                <c:pt idx="12">
                  <c:v>13.000000</c:v>
                </c:pt>
                <c:pt idx="13">
                  <c:v>14.000000</c:v>
                </c:pt>
                <c:pt idx="14">
                  <c:v>15.000000</c:v>
                </c:pt>
                <c:pt idx="15">
                  <c:v>16.000000</c:v>
                </c:pt>
              </c:strCache>
            </c:strRef>
          </c:cat>
          <c:val>
            <c:numRef>
              <c:f>'Grafica p'!$C$3:$C$18</c:f>
              <c:numCache>
                <c:formatCode>0.000000</c:formatCode>
                <c:ptCount val="16"/>
                <c:pt idx="0">
                  <c:v>0.014313</c:v>
                </c:pt>
                <c:pt idx="1">
                  <c:v>0.014313</c:v>
                </c:pt>
                <c:pt idx="2">
                  <c:v>0.014313</c:v>
                </c:pt>
                <c:pt idx="3">
                  <c:v>0.014313</c:v>
                </c:pt>
                <c:pt idx="4">
                  <c:v>0.014313</c:v>
                </c:pt>
                <c:pt idx="5">
                  <c:v>0.014313</c:v>
                </c:pt>
                <c:pt idx="6">
                  <c:v>0.014313</c:v>
                </c:pt>
                <c:pt idx="7">
                  <c:v>0.014313</c:v>
                </c:pt>
                <c:pt idx="8">
                  <c:v>0.014313</c:v>
                </c:pt>
                <c:pt idx="9">
                  <c:v>0.014313</c:v>
                </c:pt>
                <c:pt idx="10">
                  <c:v>0.014313</c:v>
                </c:pt>
                <c:pt idx="11">
                  <c:v>0.014313</c:v>
                </c:pt>
                <c:pt idx="12">
                  <c:v>0.014313</c:v>
                </c:pt>
                <c:pt idx="13">
                  <c:v>0.014313</c:v>
                </c:pt>
                <c:pt idx="14">
                  <c:v>0.014313</c:v>
                </c:pt>
                <c:pt idx="15">
                  <c:v>0.014313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'Grafica p'!D2</c:f>
              <c:strCache>
                <c:ptCount val="1"/>
                <c:pt idx="0">
                  <c:v>LCS</c:v>
                </c:pt>
              </c:strCache>
            </c:strRef>
          </c:tx>
          <c:spPr>
            <a:solidFill>
              <a:srgbClr val="00b050"/>
            </a:solidFill>
            <a:ln w="219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'Grafica p'!$A$3:$A$18</c:f>
              <c:strCache>
                <c:ptCount val="16"/>
                <c:pt idx="0">
                  <c:v>1.000000</c:v>
                </c:pt>
                <c:pt idx="1">
                  <c:v>2.000000</c:v>
                </c:pt>
                <c:pt idx="2">
                  <c:v>3.000000</c:v>
                </c:pt>
                <c:pt idx="3">
                  <c:v>4.000000</c:v>
                </c:pt>
                <c:pt idx="4">
                  <c:v>5.000000</c:v>
                </c:pt>
                <c:pt idx="5">
                  <c:v>6.000000</c:v>
                </c:pt>
                <c:pt idx="6">
                  <c:v>7.000000</c:v>
                </c:pt>
                <c:pt idx="7">
                  <c:v>8.000000</c:v>
                </c:pt>
                <c:pt idx="8">
                  <c:v>9.000000</c:v>
                </c:pt>
                <c:pt idx="9">
                  <c:v>10.000000</c:v>
                </c:pt>
                <c:pt idx="10">
                  <c:v>11.000000</c:v>
                </c:pt>
                <c:pt idx="11">
                  <c:v>12.000000</c:v>
                </c:pt>
                <c:pt idx="12">
                  <c:v>13.000000</c:v>
                </c:pt>
                <c:pt idx="13">
                  <c:v>14.000000</c:v>
                </c:pt>
                <c:pt idx="14">
                  <c:v>15.000000</c:v>
                </c:pt>
                <c:pt idx="15">
                  <c:v>16.000000</c:v>
                </c:pt>
              </c:strCache>
            </c:strRef>
          </c:cat>
          <c:val>
            <c:numRef>
              <c:f>'Grafica p'!$D$3:$D$18</c:f>
              <c:numCache>
                <c:formatCode>0.000000</c:formatCode>
                <c:ptCount val="16"/>
                <c:pt idx="0">
                  <c:v>0.02619</c:v>
                </c:pt>
                <c:pt idx="1">
                  <c:v>0.025309</c:v>
                </c:pt>
                <c:pt idx="2">
                  <c:v>0.026911</c:v>
                </c:pt>
                <c:pt idx="3">
                  <c:v>0.024599</c:v>
                </c:pt>
                <c:pt idx="4">
                  <c:v>0.025873</c:v>
                </c:pt>
                <c:pt idx="5">
                  <c:v>0.025056</c:v>
                </c:pt>
                <c:pt idx="6">
                  <c:v>0.026534</c:v>
                </c:pt>
                <c:pt idx="7">
                  <c:v>0.025581</c:v>
                </c:pt>
                <c:pt idx="8">
                  <c:v>0.02482</c:v>
                </c:pt>
                <c:pt idx="9">
                  <c:v>0.02619</c:v>
                </c:pt>
                <c:pt idx="10">
                  <c:v>0.025309</c:v>
                </c:pt>
                <c:pt idx="11">
                  <c:v>0.026911</c:v>
                </c:pt>
                <c:pt idx="12">
                  <c:v>0.024599</c:v>
                </c:pt>
                <c:pt idx="13">
                  <c:v>0.025873</c:v>
                </c:pt>
                <c:pt idx="14">
                  <c:v>0.025056</c:v>
                </c:pt>
                <c:pt idx="15">
                  <c:v>0.025581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'Grafica p'!E2</c:f>
              <c:strCache>
                <c:ptCount val="1"/>
                <c:pt idx="0">
                  <c:v>pi (proporcion)</c:v>
                </c:pt>
              </c:strCache>
            </c:strRef>
          </c:tx>
          <c:spPr>
            <a:solidFill>
              <a:srgbClr val="4472c4"/>
            </a:solidFill>
            <a:ln w="2808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'Grafica p'!$A$3:$A$18</c:f>
              <c:strCache>
                <c:ptCount val="16"/>
                <c:pt idx="0">
                  <c:v>1.000000</c:v>
                </c:pt>
                <c:pt idx="1">
                  <c:v>2.000000</c:v>
                </c:pt>
                <c:pt idx="2">
                  <c:v>3.000000</c:v>
                </c:pt>
                <c:pt idx="3">
                  <c:v>4.000000</c:v>
                </c:pt>
                <c:pt idx="4">
                  <c:v>5.000000</c:v>
                </c:pt>
                <c:pt idx="5">
                  <c:v>6.000000</c:v>
                </c:pt>
                <c:pt idx="6">
                  <c:v>7.000000</c:v>
                </c:pt>
                <c:pt idx="7">
                  <c:v>8.000000</c:v>
                </c:pt>
                <c:pt idx="8">
                  <c:v>9.000000</c:v>
                </c:pt>
                <c:pt idx="9">
                  <c:v>10.000000</c:v>
                </c:pt>
                <c:pt idx="10">
                  <c:v>11.000000</c:v>
                </c:pt>
                <c:pt idx="11">
                  <c:v>12.000000</c:v>
                </c:pt>
                <c:pt idx="12">
                  <c:v>13.000000</c:v>
                </c:pt>
                <c:pt idx="13">
                  <c:v>14.000000</c:v>
                </c:pt>
                <c:pt idx="14">
                  <c:v>15.000000</c:v>
                </c:pt>
                <c:pt idx="15">
                  <c:v>16.000000</c:v>
                </c:pt>
              </c:strCache>
            </c:strRef>
          </c:cat>
          <c:val>
            <c:numRef>
              <c:f>'Grafica p'!$E$3:$E$18</c:f>
              <c:numCache>
                <c:formatCode>0.000000</c:formatCode>
                <c:ptCount val="16"/>
                <c:pt idx="0">
                  <c:v>0.013333</c:v>
                </c:pt>
                <c:pt idx="1">
                  <c:v>0.014286</c:v>
                </c:pt>
                <c:pt idx="2">
                  <c:v>0.01125</c:v>
                </c:pt>
                <c:pt idx="3">
                  <c:v>0.016667</c:v>
                </c:pt>
                <c:pt idx="4">
                  <c:v>0.013684</c:v>
                </c:pt>
                <c:pt idx="5">
                  <c:v>0.015455</c:v>
                </c:pt>
                <c:pt idx="6">
                  <c:v>0.011765</c:v>
                </c:pt>
                <c:pt idx="7">
                  <c:v>0.014</c:v>
                </c:pt>
                <c:pt idx="8">
                  <c:v>0.016522</c:v>
                </c:pt>
                <c:pt idx="9">
                  <c:v>0.012222</c:v>
                </c:pt>
                <c:pt idx="10">
                  <c:v>0.015238</c:v>
                </c:pt>
                <c:pt idx="11">
                  <c:v>0.01</c:v>
                </c:pt>
                <c:pt idx="12">
                  <c:v>0.018333</c:v>
                </c:pt>
                <c:pt idx="13">
                  <c:v>0.012632</c:v>
                </c:pt>
                <c:pt idx="14">
                  <c:v>0.016364</c:v>
                </c:pt>
                <c:pt idx="15">
                  <c:v>0.013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1036949"/>
        <c:axId val="35069268"/>
      </c:lineChart>
      <c:catAx>
        <c:axId val="310369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Día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069268"/>
        <c:crosses val="autoZero"/>
        <c:auto val="1"/>
        <c:lblAlgn val="ctr"/>
        <c:lblOffset val="100"/>
        <c:noMultiLvlLbl val="0"/>
      </c:catAx>
      <c:valAx>
        <c:axId val="350692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Proporción (pi)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369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8</xdr:col>
      <xdr:colOff>461520</xdr:colOff>
      <xdr:row>49</xdr:row>
      <xdr:rowOff>44640</xdr:rowOff>
    </xdr:to>
    <xdr:graphicFrame>
      <xdr:nvGraphicFramePr>
        <xdr:cNvPr id="0" name="Chart 1"/>
        <xdr:cNvGraphicFramePr/>
      </xdr:nvGraphicFramePr>
      <xdr:xfrm>
        <a:off x="0" y="3619440"/>
        <a:ext cx="863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7" min="5" style="0" width="14"/>
    <col collapsed="false" customWidth="true" hidden="false" outlineLevel="0" max="8" min="8" style="0" width="12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J3" s="0" t="s">
        <v>2</v>
      </c>
    </row>
    <row r="4" customFormat="false" ht="15" hidden="false" customHeight="false" outlineLevel="0" collapsed="false">
      <c r="A4" s="3" t="s">
        <v>3</v>
      </c>
      <c r="B4" s="3"/>
      <c r="C4" s="3"/>
      <c r="D4" s="3"/>
      <c r="E4" s="3"/>
      <c r="F4" s="3"/>
      <c r="G4" s="3"/>
      <c r="H4" s="3"/>
      <c r="J4" s="4" t="n">
        <f aca="false">SUM(C15:C30)/SUM(B15:B30)</f>
        <v>0.0143125</v>
      </c>
    </row>
    <row r="5" customFormat="false" ht="15" hidden="false" customHeight="false" outlineLevel="0" collapsed="false">
      <c r="A5" s="5" t="s">
        <v>4</v>
      </c>
      <c r="B5" s="5"/>
      <c r="C5" s="5"/>
      <c r="D5" s="5"/>
      <c r="E5" s="5"/>
      <c r="F5" s="5"/>
      <c r="G5" s="5"/>
      <c r="H5" s="5"/>
    </row>
    <row r="7" customFormat="false" ht="15" hidden="false" customHeight="false" outlineLevel="0" collapsed="false">
      <c r="A7" s="6" t="s">
        <v>5</v>
      </c>
      <c r="B7" s="6"/>
      <c r="C7" s="6"/>
    </row>
    <row r="8" customFormat="false" ht="15" hidden="false" customHeight="false" outlineLevel="0" collapsed="false">
      <c r="A8" s="7" t="s">
        <v>6</v>
      </c>
      <c r="B8" s="8" t="s">
        <v>7</v>
      </c>
    </row>
    <row r="9" customFormat="false" ht="15" hidden="false" customHeight="false" outlineLevel="0" collapsed="false">
      <c r="A9" s="9" t="s">
        <v>8</v>
      </c>
      <c r="B9" s="8" t="s">
        <v>9</v>
      </c>
    </row>
    <row r="10" customFormat="false" ht="15" hidden="false" customHeight="false" outlineLevel="0" collapsed="false">
      <c r="A10" s="7" t="s">
        <v>10</v>
      </c>
      <c r="B10" s="8" t="s">
        <v>2</v>
      </c>
    </row>
    <row r="11" customFormat="false" ht="15" hidden="false" customHeight="false" outlineLevel="0" collapsed="false">
      <c r="A11" s="10" t="s">
        <v>11</v>
      </c>
      <c r="B11" s="8" t="s">
        <v>12</v>
      </c>
    </row>
    <row r="13" customFormat="false" ht="15" hidden="false" customHeight="false" outlineLevel="0" collapsed="false">
      <c r="A13" s="11" t="s">
        <v>13</v>
      </c>
      <c r="B13" s="11"/>
      <c r="C13" s="11"/>
      <c r="D13" s="11"/>
      <c r="E13" s="11"/>
      <c r="F13" s="11"/>
      <c r="G13" s="11"/>
      <c r="H13" s="11"/>
    </row>
    <row r="14" customFormat="false" ht="15" hidden="false" customHeight="false" outlineLevel="0" collapsed="false">
      <c r="A14" s="12" t="s">
        <v>14</v>
      </c>
      <c r="B14" s="12" t="s">
        <v>15</v>
      </c>
      <c r="C14" s="12" t="s">
        <v>16</v>
      </c>
      <c r="D14" s="12" t="s">
        <v>17</v>
      </c>
      <c r="E14" s="12" t="s">
        <v>18</v>
      </c>
      <c r="F14" s="12" t="s">
        <v>19</v>
      </c>
      <c r="G14" s="12" t="s">
        <v>20</v>
      </c>
      <c r="H14" s="12" t="s">
        <v>21</v>
      </c>
    </row>
    <row r="15" customFormat="false" ht="15" hidden="false" customHeight="false" outlineLevel="0" collapsed="false">
      <c r="A15" s="13" t="n">
        <v>1</v>
      </c>
      <c r="B15" s="13" t="n">
        <v>900</v>
      </c>
      <c r="C15" s="13" t="n">
        <v>12</v>
      </c>
      <c r="D15" s="14" t="n">
        <f aca="false">C15/B15</f>
        <v>0.0133333333333333</v>
      </c>
      <c r="E15" s="14" t="n">
        <f aca="false">MAX(0, $J$4 - 3*SQRT($J$4*(1-$J$4)/B15))</f>
        <v>0.00243493613203869</v>
      </c>
      <c r="F15" s="14" t="n">
        <f aca="false">$J$4</f>
        <v>0.0143125</v>
      </c>
      <c r="G15" s="14" t="n">
        <f aca="false">$J$4 + 3*SQRT($J$4*(1-$J$4)/B15)</f>
        <v>0.0261900638679613</v>
      </c>
      <c r="H15" s="13" t="str">
        <f aca="false">IF(OR(D15&gt;G15, D15&lt;E15), "FUERA", "OK")</f>
        <v>OK</v>
      </c>
    </row>
    <row r="16" customFormat="false" ht="15" hidden="false" customHeight="false" outlineLevel="0" collapsed="false">
      <c r="A16" s="13" t="n">
        <v>2</v>
      </c>
      <c r="B16" s="13" t="n">
        <v>1050</v>
      </c>
      <c r="C16" s="13" t="n">
        <v>15</v>
      </c>
      <c r="D16" s="14" t="n">
        <f aca="false">C16/B16</f>
        <v>0.0142857142857143</v>
      </c>
      <c r="E16" s="14" t="n">
        <f aca="false">MAX(0, $J$4 - 3*SQRT($J$4*(1-$J$4)/B16))</f>
        <v>0.00331601263470921</v>
      </c>
      <c r="F16" s="14" t="n">
        <f aca="false">$J$4</f>
        <v>0.0143125</v>
      </c>
      <c r="G16" s="14" t="n">
        <f aca="false">$J$4 + 3*SQRT($J$4*(1-$J$4)/B16)</f>
        <v>0.0253089873652908</v>
      </c>
      <c r="H16" s="13" t="str">
        <f aca="false">IF(OR(D16&gt;G16, D16&lt;E16), "FUERA", "OK")</f>
        <v>OK</v>
      </c>
    </row>
    <row r="17" customFormat="false" ht="15" hidden="false" customHeight="false" outlineLevel="0" collapsed="false">
      <c r="A17" s="13" t="n">
        <v>3</v>
      </c>
      <c r="B17" s="13" t="n">
        <v>800</v>
      </c>
      <c r="C17" s="13" t="n">
        <v>9</v>
      </c>
      <c r="D17" s="14" t="n">
        <f aca="false">C17/B17</f>
        <v>0.01125</v>
      </c>
      <c r="E17" s="14" t="n">
        <f aca="false">MAX(0, $J$4 - 3*SQRT($J$4*(1-$J$4)/B17))</f>
        <v>0.00171444106748236</v>
      </c>
      <c r="F17" s="14" t="n">
        <f aca="false">$J$4</f>
        <v>0.0143125</v>
      </c>
      <c r="G17" s="14" t="n">
        <f aca="false">$J$4 + 3*SQRT($J$4*(1-$J$4)/B17)</f>
        <v>0.0269105589325176</v>
      </c>
      <c r="H17" s="13" t="str">
        <f aca="false">IF(OR(D17&gt;G17, D17&lt;E17), "FUERA", "OK")</f>
        <v>OK</v>
      </c>
    </row>
    <row r="18" customFormat="false" ht="15" hidden="false" customHeight="false" outlineLevel="0" collapsed="false">
      <c r="A18" s="13" t="n">
        <v>4</v>
      </c>
      <c r="B18" s="13" t="n">
        <v>1200</v>
      </c>
      <c r="C18" s="13" t="n">
        <v>20</v>
      </c>
      <c r="D18" s="14" t="n">
        <f aca="false">C18/B18</f>
        <v>0.0166666666666667</v>
      </c>
      <c r="E18" s="14" t="n">
        <f aca="false">MAX(0, $J$4 - 3*SQRT($J$4*(1-$J$4)/B18))</f>
        <v>0.00402622795527335</v>
      </c>
      <c r="F18" s="14" t="n">
        <f aca="false">$J$4</f>
        <v>0.0143125</v>
      </c>
      <c r="G18" s="14" t="n">
        <f aca="false">$J$4 + 3*SQRT($J$4*(1-$J$4)/B18)</f>
        <v>0.0245987720447267</v>
      </c>
      <c r="H18" s="13" t="str">
        <f aca="false">IF(OR(D18&gt;G18, D18&lt;E18), "FUERA", "OK")</f>
        <v>OK</v>
      </c>
    </row>
    <row r="19" customFormat="false" ht="15" hidden="false" customHeight="false" outlineLevel="0" collapsed="false">
      <c r="A19" s="13" t="n">
        <v>5</v>
      </c>
      <c r="B19" s="13" t="n">
        <v>950</v>
      </c>
      <c r="C19" s="13" t="n">
        <v>13</v>
      </c>
      <c r="D19" s="14" t="n">
        <f aca="false">C19/B19</f>
        <v>0.0136842105263158</v>
      </c>
      <c r="E19" s="14" t="n">
        <f aca="false">MAX(0, $J$4 - 3*SQRT($J$4*(1-$J$4)/B19))</f>
        <v>0.00275172825860752</v>
      </c>
      <c r="F19" s="14" t="n">
        <f aca="false">$J$4</f>
        <v>0.0143125</v>
      </c>
      <c r="G19" s="14" t="n">
        <f aca="false">$J$4 + 3*SQRT($J$4*(1-$J$4)/B19)</f>
        <v>0.0258732717413925</v>
      </c>
      <c r="H19" s="13" t="str">
        <f aca="false">IF(OR(D19&gt;G19, D19&lt;E19), "FUERA", "OK")</f>
        <v>OK</v>
      </c>
    </row>
    <row r="20" customFormat="false" ht="15" hidden="false" customHeight="false" outlineLevel="0" collapsed="false">
      <c r="A20" s="13" t="n">
        <v>6</v>
      </c>
      <c r="B20" s="13" t="n">
        <v>1100</v>
      </c>
      <c r="C20" s="13" t="n">
        <v>17</v>
      </c>
      <c r="D20" s="14" t="n">
        <f aca="false">C20/B20</f>
        <v>0.0154545454545455</v>
      </c>
      <c r="E20" s="14" t="n">
        <f aca="false">MAX(0, $J$4 - 3*SQRT($J$4*(1-$J$4)/B20))</f>
        <v>0.00356883924358817</v>
      </c>
      <c r="F20" s="14" t="n">
        <f aca="false">$J$4</f>
        <v>0.0143125</v>
      </c>
      <c r="G20" s="14" t="n">
        <f aca="false">$J$4 + 3*SQRT($J$4*(1-$J$4)/B20)</f>
        <v>0.0250561607564118</v>
      </c>
      <c r="H20" s="13" t="str">
        <f aca="false">IF(OR(D20&gt;G20, D20&lt;E20), "FUERA", "OK")</f>
        <v>OK</v>
      </c>
    </row>
    <row r="21" customFormat="false" ht="15" hidden="false" customHeight="false" outlineLevel="0" collapsed="false">
      <c r="A21" s="13" t="n">
        <v>7</v>
      </c>
      <c r="B21" s="13" t="n">
        <v>850</v>
      </c>
      <c r="C21" s="13" t="n">
        <v>10</v>
      </c>
      <c r="D21" s="14" t="n">
        <f aca="false">C21/B21</f>
        <v>0.0117647058823529</v>
      </c>
      <c r="E21" s="14" t="n">
        <f aca="false">MAX(0, $J$4 - 3*SQRT($J$4*(1-$J$4)/B21))</f>
        <v>0.0020905876102291</v>
      </c>
      <c r="F21" s="14" t="n">
        <f aca="false">$J$4</f>
        <v>0.0143125</v>
      </c>
      <c r="G21" s="14" t="n">
        <f aca="false">$J$4 + 3*SQRT($J$4*(1-$J$4)/B21)</f>
        <v>0.0265344123897709</v>
      </c>
      <c r="H21" s="13" t="str">
        <f aca="false">IF(OR(D21&gt;G21, D21&lt;E21), "FUERA", "OK")</f>
        <v>OK</v>
      </c>
    </row>
    <row r="22" customFormat="false" ht="15" hidden="false" customHeight="false" outlineLevel="0" collapsed="false">
      <c r="A22" s="13" t="n">
        <v>8</v>
      </c>
      <c r="B22" s="13" t="n">
        <v>1000</v>
      </c>
      <c r="C22" s="13" t="n">
        <v>14</v>
      </c>
      <c r="D22" s="14" t="n">
        <f aca="false">C22/B22</f>
        <v>0.014</v>
      </c>
      <c r="E22" s="14" t="n">
        <f aca="false">MAX(0, $J$4 - 3*SQRT($J$4*(1-$J$4)/B22))</f>
        <v>0.00304445353693685</v>
      </c>
      <c r="F22" s="14" t="n">
        <f aca="false">$J$4</f>
        <v>0.0143125</v>
      </c>
      <c r="G22" s="14" t="n">
        <f aca="false">$J$4 + 3*SQRT($J$4*(1-$J$4)/B22)</f>
        <v>0.0255805464630632</v>
      </c>
      <c r="H22" s="13" t="str">
        <f aca="false">IF(OR(D22&gt;G22, D22&lt;E22), "FUERA", "OK")</f>
        <v>OK</v>
      </c>
    </row>
    <row r="23" customFormat="false" ht="15" hidden="false" customHeight="false" outlineLevel="0" collapsed="false">
      <c r="A23" s="13" t="n">
        <v>9</v>
      </c>
      <c r="B23" s="13" t="n">
        <v>1150</v>
      </c>
      <c r="C23" s="13" t="n">
        <v>19</v>
      </c>
      <c r="D23" s="14" t="n">
        <f aca="false">C23/B23</f>
        <v>0.0165217391304348</v>
      </c>
      <c r="E23" s="14" t="n">
        <f aca="false">MAX(0, $J$4 - 3*SQRT($J$4*(1-$J$4)/B23))</f>
        <v>0.00380499249371835</v>
      </c>
      <c r="F23" s="14" t="n">
        <f aca="false">$J$4</f>
        <v>0.0143125</v>
      </c>
      <c r="G23" s="14" t="n">
        <f aca="false">$J$4 + 3*SQRT($J$4*(1-$J$4)/B23)</f>
        <v>0.0248200075062817</v>
      </c>
      <c r="H23" s="13" t="str">
        <f aca="false">IF(OR(D23&gt;G23, D23&lt;E23), "FUERA", "OK")</f>
        <v>OK</v>
      </c>
    </row>
    <row r="24" customFormat="false" ht="15" hidden="false" customHeight="false" outlineLevel="0" collapsed="false">
      <c r="A24" s="13" t="n">
        <v>10</v>
      </c>
      <c r="B24" s="13" t="n">
        <v>900</v>
      </c>
      <c r="C24" s="13" t="n">
        <v>11</v>
      </c>
      <c r="D24" s="14" t="n">
        <f aca="false">C24/B24</f>
        <v>0.0122222222222222</v>
      </c>
      <c r="E24" s="14" t="n">
        <f aca="false">MAX(0, $J$4 - 3*SQRT($J$4*(1-$J$4)/B24))</f>
        <v>0.00243493613203869</v>
      </c>
      <c r="F24" s="14" t="n">
        <f aca="false">$J$4</f>
        <v>0.0143125</v>
      </c>
      <c r="G24" s="14" t="n">
        <f aca="false">$J$4 + 3*SQRT($J$4*(1-$J$4)/B24)</f>
        <v>0.0261900638679613</v>
      </c>
      <c r="H24" s="13" t="str">
        <f aca="false">IF(OR(D24&gt;G24, D24&lt;E24), "FUERA", "OK")</f>
        <v>OK</v>
      </c>
    </row>
    <row r="25" customFormat="false" ht="15" hidden="false" customHeight="false" outlineLevel="0" collapsed="false">
      <c r="A25" s="13" t="n">
        <v>11</v>
      </c>
      <c r="B25" s="13" t="n">
        <v>1050</v>
      </c>
      <c r="C25" s="13" t="n">
        <v>16</v>
      </c>
      <c r="D25" s="14" t="n">
        <f aca="false">C25/B25</f>
        <v>0.0152380952380952</v>
      </c>
      <c r="E25" s="14" t="n">
        <f aca="false">MAX(0, $J$4 - 3*SQRT($J$4*(1-$J$4)/B25))</f>
        <v>0.00331601263470921</v>
      </c>
      <c r="F25" s="14" t="n">
        <f aca="false">$J$4</f>
        <v>0.0143125</v>
      </c>
      <c r="G25" s="14" t="n">
        <f aca="false">$J$4 + 3*SQRT($J$4*(1-$J$4)/B25)</f>
        <v>0.0253089873652908</v>
      </c>
      <c r="H25" s="13" t="str">
        <f aca="false">IF(OR(D25&gt;G25, D25&lt;E25), "FUERA", "OK")</f>
        <v>OK</v>
      </c>
    </row>
    <row r="26" customFormat="false" ht="15" hidden="false" customHeight="false" outlineLevel="0" collapsed="false">
      <c r="A26" s="13" t="n">
        <v>12</v>
      </c>
      <c r="B26" s="13" t="n">
        <v>800</v>
      </c>
      <c r="C26" s="13" t="n">
        <v>8</v>
      </c>
      <c r="D26" s="14" t="n">
        <f aca="false">C26/B26</f>
        <v>0.01</v>
      </c>
      <c r="E26" s="14" t="n">
        <f aca="false">MAX(0, $J$4 - 3*SQRT($J$4*(1-$J$4)/B26))</f>
        <v>0.00171444106748236</v>
      </c>
      <c r="F26" s="14" t="n">
        <f aca="false">$J$4</f>
        <v>0.0143125</v>
      </c>
      <c r="G26" s="14" t="n">
        <f aca="false">$J$4 + 3*SQRT($J$4*(1-$J$4)/B26)</f>
        <v>0.0269105589325176</v>
      </c>
      <c r="H26" s="13" t="str">
        <f aca="false">IF(OR(D26&gt;G26, D26&lt;E26), "FUERA", "OK")</f>
        <v>OK</v>
      </c>
    </row>
    <row r="27" customFormat="false" ht="15" hidden="false" customHeight="false" outlineLevel="0" collapsed="false">
      <c r="A27" s="13" t="n">
        <v>13</v>
      </c>
      <c r="B27" s="13" t="n">
        <v>1200</v>
      </c>
      <c r="C27" s="13" t="n">
        <v>22</v>
      </c>
      <c r="D27" s="14" t="n">
        <f aca="false">C27/B27</f>
        <v>0.0183333333333333</v>
      </c>
      <c r="E27" s="14" t="n">
        <f aca="false">MAX(0, $J$4 - 3*SQRT($J$4*(1-$J$4)/B27))</f>
        <v>0.00402622795527335</v>
      </c>
      <c r="F27" s="14" t="n">
        <f aca="false">$J$4</f>
        <v>0.0143125</v>
      </c>
      <c r="G27" s="14" t="n">
        <f aca="false">$J$4 + 3*SQRT($J$4*(1-$J$4)/B27)</f>
        <v>0.0245987720447267</v>
      </c>
      <c r="H27" s="13" t="str">
        <f aca="false">IF(OR(D27&gt;G27, D27&lt;E27), "FUERA", "OK")</f>
        <v>OK</v>
      </c>
    </row>
    <row r="28" customFormat="false" ht="15" hidden="false" customHeight="false" outlineLevel="0" collapsed="false">
      <c r="A28" s="13" t="n">
        <v>14</v>
      </c>
      <c r="B28" s="13" t="n">
        <v>950</v>
      </c>
      <c r="C28" s="13" t="n">
        <v>12</v>
      </c>
      <c r="D28" s="14" t="n">
        <f aca="false">C28/B28</f>
        <v>0.0126315789473684</v>
      </c>
      <c r="E28" s="14" t="n">
        <f aca="false">MAX(0, $J$4 - 3*SQRT($J$4*(1-$J$4)/B28))</f>
        <v>0.00275172825860752</v>
      </c>
      <c r="F28" s="14" t="n">
        <f aca="false">$J$4</f>
        <v>0.0143125</v>
      </c>
      <c r="G28" s="14" t="n">
        <f aca="false">$J$4 + 3*SQRT($J$4*(1-$J$4)/B28)</f>
        <v>0.0258732717413925</v>
      </c>
      <c r="H28" s="13" t="str">
        <f aca="false">IF(OR(D28&gt;G28, D28&lt;E28), "FUERA", "OK")</f>
        <v>OK</v>
      </c>
    </row>
    <row r="29" customFormat="false" ht="15" hidden="false" customHeight="false" outlineLevel="0" collapsed="false">
      <c r="A29" s="13" t="n">
        <v>15</v>
      </c>
      <c r="B29" s="13" t="n">
        <v>1100</v>
      </c>
      <c r="C29" s="13" t="n">
        <v>18</v>
      </c>
      <c r="D29" s="14" t="n">
        <f aca="false">C29/B29</f>
        <v>0.0163636363636364</v>
      </c>
      <c r="E29" s="14" t="n">
        <f aca="false">MAX(0, $J$4 - 3*SQRT($J$4*(1-$J$4)/B29))</f>
        <v>0.00356883924358817</v>
      </c>
      <c r="F29" s="14" t="n">
        <f aca="false">$J$4</f>
        <v>0.0143125</v>
      </c>
      <c r="G29" s="14" t="n">
        <f aca="false">$J$4 + 3*SQRT($J$4*(1-$J$4)/B29)</f>
        <v>0.0250561607564118</v>
      </c>
      <c r="H29" s="13" t="str">
        <f aca="false">IF(OR(D29&gt;G29, D29&lt;E29), "FUERA", "OK")</f>
        <v>OK</v>
      </c>
    </row>
    <row r="30" customFormat="false" ht="15" hidden="false" customHeight="false" outlineLevel="0" collapsed="false">
      <c r="A30" s="13" t="n">
        <v>16</v>
      </c>
      <c r="B30" s="13" t="n">
        <v>1000</v>
      </c>
      <c r="C30" s="13" t="n">
        <v>13</v>
      </c>
      <c r="D30" s="14" t="n">
        <f aca="false">C30/B30</f>
        <v>0.013</v>
      </c>
      <c r="E30" s="14" t="n">
        <f aca="false">MAX(0, $J$4 - 3*SQRT($J$4*(1-$J$4)/B30))</f>
        <v>0.00304445353693685</v>
      </c>
      <c r="F30" s="14" t="n">
        <f aca="false">$J$4</f>
        <v>0.0143125</v>
      </c>
      <c r="G30" s="14" t="n">
        <f aca="false">$J$4 + 3*SQRT($J$4*(1-$J$4)/B30)</f>
        <v>0.0255805464630632</v>
      </c>
      <c r="H30" s="13" t="str">
        <f aca="false">IF(OR(D30&gt;G30, D30&lt;E30), "FUERA", "OK")</f>
        <v>OK</v>
      </c>
    </row>
    <row r="33" customFormat="false" ht="15" hidden="false" customHeight="false" outlineLevel="0" collapsed="false">
      <c r="A33" s="15" t="s">
        <v>22</v>
      </c>
      <c r="B33" s="15"/>
      <c r="C33" s="15"/>
    </row>
    <row r="34" customFormat="false" ht="15" hidden="false" customHeight="false" outlineLevel="0" collapsed="false">
      <c r="A34" s="7" t="s">
        <v>23</v>
      </c>
      <c r="B34" s="16" t="n">
        <f aca="false">SUM(C15:C30)</f>
        <v>229</v>
      </c>
    </row>
    <row r="35" customFormat="false" ht="15" hidden="false" customHeight="false" outlineLevel="0" collapsed="false">
      <c r="A35" s="7" t="s">
        <v>24</v>
      </c>
      <c r="B35" s="16" t="n">
        <f aca="false">SUM(B15:B30)</f>
        <v>16000</v>
      </c>
    </row>
    <row r="36" customFormat="false" ht="15" hidden="false" customHeight="false" outlineLevel="0" collapsed="false">
      <c r="A36" s="7" t="s">
        <v>25</v>
      </c>
      <c r="B36" s="17" t="n">
        <f aca="false">J4</f>
        <v>0.0143125</v>
      </c>
    </row>
    <row r="37" customFormat="false" ht="15" hidden="false" customHeight="false" outlineLevel="0" collapsed="false">
      <c r="A37" s="7" t="s">
        <v>26</v>
      </c>
      <c r="B37" s="18" t="n">
        <f aca="false">AVERAGE(B15:B30)</f>
        <v>1000</v>
      </c>
    </row>
    <row r="39" customFormat="false" ht="15" hidden="false" customHeight="false" outlineLevel="0" collapsed="false">
      <c r="A39" s="19" t="s">
        <v>27</v>
      </c>
      <c r="B39" s="19"/>
      <c r="C39" s="19"/>
      <c r="D39" s="19"/>
    </row>
    <row r="40" customFormat="false" ht="15" hidden="false" customHeight="false" outlineLevel="0" collapsed="false">
      <c r="A40" s="20" t="s">
        <v>28</v>
      </c>
      <c r="B40" s="20"/>
      <c r="C40" s="20"/>
      <c r="D40" s="20"/>
    </row>
    <row r="41" customFormat="false" ht="15" hidden="false" customHeight="false" outlineLevel="0" collapsed="false">
      <c r="A41" s="21" t="s">
        <v>29</v>
      </c>
      <c r="B41" s="21"/>
      <c r="C41" s="21"/>
      <c r="D41" s="21"/>
    </row>
    <row r="42" customFormat="false" ht="15" hidden="false" customHeight="false" outlineLevel="0" collapsed="false">
      <c r="A42" s="21" t="s">
        <v>30</v>
      </c>
      <c r="B42" s="21"/>
      <c r="C42" s="21"/>
      <c r="D42" s="21"/>
    </row>
    <row r="43" customFormat="false" ht="15" hidden="false" customHeight="false" outlineLevel="0" collapsed="false">
      <c r="A43" s="21" t="s">
        <v>31</v>
      </c>
      <c r="B43" s="21"/>
      <c r="C43" s="21"/>
      <c r="D43" s="21"/>
    </row>
    <row r="44" customFormat="false" ht="15" hidden="false" customHeight="false" outlineLevel="0" collapsed="false">
      <c r="A44" s="21" t="s">
        <v>32</v>
      </c>
      <c r="B44" s="21"/>
      <c r="C44" s="21"/>
      <c r="D44" s="21"/>
    </row>
    <row r="45" customFormat="false" ht="15" hidden="false" customHeight="false" outlineLevel="0" collapsed="false">
      <c r="A45" s="21" t="s">
        <v>33</v>
      </c>
      <c r="B45" s="21"/>
      <c r="C45" s="21"/>
      <c r="D45" s="21"/>
    </row>
    <row r="46" customFormat="false" ht="15" hidden="false" customHeight="false" outlineLevel="0" collapsed="false">
      <c r="A46" s="21" t="s">
        <v>34</v>
      </c>
      <c r="B46" s="21"/>
      <c r="C46" s="21"/>
      <c r="D46" s="21"/>
    </row>
    <row r="47" customFormat="false" ht="15" hidden="false" customHeight="false" outlineLevel="0" collapsed="false">
      <c r="A47" s="21" t="s">
        <v>35</v>
      </c>
      <c r="B47" s="21"/>
      <c r="C47" s="21"/>
      <c r="D47" s="21"/>
    </row>
    <row r="49" customFormat="false" ht="15" hidden="false" customHeight="false" outlineLevel="0" collapsed="false">
      <c r="A49" s="6" t="s">
        <v>36</v>
      </c>
      <c r="B49" s="6"/>
      <c r="C49" s="6"/>
      <c r="D49" s="6"/>
    </row>
    <row r="50" customFormat="false" ht="15" hidden="false" customHeight="false" outlineLevel="0" collapsed="false">
      <c r="A50" s="21" t="s">
        <v>37</v>
      </c>
      <c r="B50" s="21"/>
      <c r="C50" s="21"/>
      <c r="D50" s="21"/>
    </row>
    <row r="51" customFormat="false" ht="15" hidden="false" customHeight="false" outlineLevel="0" collapsed="false">
      <c r="A51" s="21" t="s">
        <v>38</v>
      </c>
      <c r="B51" s="21"/>
      <c r="C51" s="21"/>
      <c r="D51" s="21"/>
    </row>
    <row r="52" customFormat="false" ht="15" hidden="false" customHeight="false" outlineLevel="0" collapsed="false">
      <c r="A52" s="21" t="s">
        <v>39</v>
      </c>
      <c r="B52" s="21"/>
      <c r="C52" s="21"/>
      <c r="D52" s="21"/>
    </row>
    <row r="53" customFormat="false" ht="15" hidden="false" customHeight="false" outlineLevel="0" collapsed="false">
      <c r="A53" s="21" t="s">
        <v>40</v>
      </c>
      <c r="B53" s="21"/>
      <c r="C53" s="21"/>
      <c r="D53" s="21"/>
    </row>
  </sheetData>
  <mergeCells count="21">
    <mergeCell ref="A1:H1"/>
    <mergeCell ref="A2:H2"/>
    <mergeCell ref="A4:H4"/>
    <mergeCell ref="A5:H5"/>
    <mergeCell ref="A7:C7"/>
    <mergeCell ref="A13:H13"/>
    <mergeCell ref="A33:C33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9:D49"/>
    <mergeCell ref="A50:D50"/>
    <mergeCell ref="A51:D51"/>
    <mergeCell ref="A52:D52"/>
    <mergeCell ref="A53:D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8"/>
  </cols>
  <sheetData>
    <row r="1" customFormat="false" ht="15" hidden="false" customHeight="false" outlineLevel="0" collapsed="false">
      <c r="A1" s="6" t="s">
        <v>41</v>
      </c>
      <c r="B1" s="6"/>
      <c r="C1" s="6"/>
      <c r="D1" s="6"/>
      <c r="E1" s="6"/>
    </row>
    <row r="2" customFormat="false" ht="15" hidden="false" customHeight="false" outlineLevel="0" collapsed="false">
      <c r="A2" s="12" t="s">
        <v>14</v>
      </c>
      <c r="B2" s="12" t="s">
        <v>18</v>
      </c>
      <c r="C2" s="12" t="s">
        <v>19</v>
      </c>
      <c r="D2" s="12" t="s">
        <v>20</v>
      </c>
      <c r="E2" s="12" t="s">
        <v>42</v>
      </c>
    </row>
    <row r="3" customFormat="false" ht="15" hidden="false" customHeight="false" outlineLevel="0" collapsed="false">
      <c r="A3" s="22" t="n">
        <v>1</v>
      </c>
      <c r="B3" s="22" t="n">
        <v>0.002435</v>
      </c>
      <c r="C3" s="22" t="n">
        <v>0.014313</v>
      </c>
      <c r="D3" s="22" t="n">
        <v>0.02619</v>
      </c>
      <c r="E3" s="22" t="n">
        <v>0.013333</v>
      </c>
    </row>
    <row r="4" customFormat="false" ht="15" hidden="false" customHeight="false" outlineLevel="0" collapsed="false">
      <c r="A4" s="22" t="n">
        <v>2</v>
      </c>
      <c r="B4" s="22" t="n">
        <v>0.003316</v>
      </c>
      <c r="C4" s="22" t="n">
        <v>0.014313</v>
      </c>
      <c r="D4" s="22" t="n">
        <v>0.025309</v>
      </c>
      <c r="E4" s="22" t="n">
        <v>0.014286</v>
      </c>
    </row>
    <row r="5" customFormat="false" ht="15" hidden="false" customHeight="false" outlineLevel="0" collapsed="false">
      <c r="A5" s="22" t="n">
        <v>3</v>
      </c>
      <c r="B5" s="22" t="n">
        <v>0.001714</v>
      </c>
      <c r="C5" s="22" t="n">
        <v>0.014313</v>
      </c>
      <c r="D5" s="22" t="n">
        <v>0.026911</v>
      </c>
      <c r="E5" s="22" t="n">
        <v>0.01125</v>
      </c>
    </row>
    <row r="6" customFormat="false" ht="15" hidden="false" customHeight="false" outlineLevel="0" collapsed="false">
      <c r="A6" s="22" t="n">
        <v>4</v>
      </c>
      <c r="B6" s="22" t="n">
        <v>0.004026</v>
      </c>
      <c r="C6" s="22" t="n">
        <v>0.014313</v>
      </c>
      <c r="D6" s="22" t="n">
        <v>0.024599</v>
      </c>
      <c r="E6" s="22" t="n">
        <v>0.016667</v>
      </c>
    </row>
    <row r="7" customFormat="false" ht="15" hidden="false" customHeight="false" outlineLevel="0" collapsed="false">
      <c r="A7" s="22" t="n">
        <v>5</v>
      </c>
      <c r="B7" s="22" t="n">
        <v>0.002752</v>
      </c>
      <c r="C7" s="22" t="n">
        <v>0.014313</v>
      </c>
      <c r="D7" s="22" t="n">
        <v>0.025873</v>
      </c>
      <c r="E7" s="22" t="n">
        <v>0.013684</v>
      </c>
    </row>
    <row r="8" customFormat="false" ht="15" hidden="false" customHeight="false" outlineLevel="0" collapsed="false">
      <c r="A8" s="22" t="n">
        <v>6</v>
      </c>
      <c r="B8" s="22" t="n">
        <v>0.003569</v>
      </c>
      <c r="C8" s="22" t="n">
        <v>0.014313</v>
      </c>
      <c r="D8" s="22" t="n">
        <v>0.025056</v>
      </c>
      <c r="E8" s="22" t="n">
        <v>0.015455</v>
      </c>
    </row>
    <row r="9" customFormat="false" ht="15" hidden="false" customHeight="false" outlineLevel="0" collapsed="false">
      <c r="A9" s="22" t="n">
        <v>7</v>
      </c>
      <c r="B9" s="22" t="n">
        <v>0.002091</v>
      </c>
      <c r="C9" s="22" t="n">
        <v>0.014313</v>
      </c>
      <c r="D9" s="22" t="n">
        <v>0.026534</v>
      </c>
      <c r="E9" s="22" t="n">
        <v>0.011765</v>
      </c>
    </row>
    <row r="10" customFormat="false" ht="15" hidden="false" customHeight="false" outlineLevel="0" collapsed="false">
      <c r="A10" s="22" t="n">
        <v>8</v>
      </c>
      <c r="B10" s="22" t="n">
        <v>0.003044</v>
      </c>
      <c r="C10" s="22" t="n">
        <v>0.014313</v>
      </c>
      <c r="D10" s="22" t="n">
        <v>0.025581</v>
      </c>
      <c r="E10" s="22" t="n">
        <v>0.014</v>
      </c>
    </row>
    <row r="11" customFormat="false" ht="15" hidden="false" customHeight="false" outlineLevel="0" collapsed="false">
      <c r="A11" s="22" t="n">
        <v>9</v>
      </c>
      <c r="B11" s="22" t="n">
        <v>0.003805</v>
      </c>
      <c r="C11" s="22" t="n">
        <v>0.014313</v>
      </c>
      <c r="D11" s="22" t="n">
        <v>0.02482</v>
      </c>
      <c r="E11" s="22" t="n">
        <v>0.016522</v>
      </c>
    </row>
    <row r="12" customFormat="false" ht="15" hidden="false" customHeight="false" outlineLevel="0" collapsed="false">
      <c r="A12" s="22" t="n">
        <v>10</v>
      </c>
      <c r="B12" s="22" t="n">
        <v>0.002435</v>
      </c>
      <c r="C12" s="22" t="n">
        <v>0.014313</v>
      </c>
      <c r="D12" s="22" t="n">
        <v>0.02619</v>
      </c>
      <c r="E12" s="22" t="n">
        <v>0.012222</v>
      </c>
    </row>
    <row r="13" customFormat="false" ht="15" hidden="false" customHeight="false" outlineLevel="0" collapsed="false">
      <c r="A13" s="22" t="n">
        <v>11</v>
      </c>
      <c r="B13" s="22" t="n">
        <v>0.003316</v>
      </c>
      <c r="C13" s="22" t="n">
        <v>0.014313</v>
      </c>
      <c r="D13" s="22" t="n">
        <v>0.025309</v>
      </c>
      <c r="E13" s="22" t="n">
        <v>0.015238</v>
      </c>
    </row>
    <row r="14" customFormat="false" ht="15" hidden="false" customHeight="false" outlineLevel="0" collapsed="false">
      <c r="A14" s="22" t="n">
        <v>12</v>
      </c>
      <c r="B14" s="22" t="n">
        <v>0.001714</v>
      </c>
      <c r="C14" s="22" t="n">
        <v>0.014313</v>
      </c>
      <c r="D14" s="22" t="n">
        <v>0.026911</v>
      </c>
      <c r="E14" s="22" t="n">
        <v>0.01</v>
      </c>
    </row>
    <row r="15" customFormat="false" ht="15" hidden="false" customHeight="false" outlineLevel="0" collapsed="false">
      <c r="A15" s="22" t="n">
        <v>13</v>
      </c>
      <c r="B15" s="22" t="n">
        <v>0.004026</v>
      </c>
      <c r="C15" s="22" t="n">
        <v>0.014313</v>
      </c>
      <c r="D15" s="22" t="n">
        <v>0.024599</v>
      </c>
      <c r="E15" s="22" t="n">
        <v>0.018333</v>
      </c>
    </row>
    <row r="16" customFormat="false" ht="15" hidden="false" customHeight="false" outlineLevel="0" collapsed="false">
      <c r="A16" s="22" t="n">
        <v>14</v>
      </c>
      <c r="B16" s="22" t="n">
        <v>0.002752</v>
      </c>
      <c r="C16" s="22" t="n">
        <v>0.014313</v>
      </c>
      <c r="D16" s="22" t="n">
        <v>0.025873</v>
      </c>
      <c r="E16" s="22" t="n">
        <v>0.012632</v>
      </c>
    </row>
    <row r="17" customFormat="false" ht="15" hidden="false" customHeight="false" outlineLevel="0" collapsed="false">
      <c r="A17" s="22" t="n">
        <v>15</v>
      </c>
      <c r="B17" s="22" t="n">
        <v>0.003569</v>
      </c>
      <c r="C17" s="22" t="n">
        <v>0.014313</v>
      </c>
      <c r="D17" s="22" t="n">
        <v>0.025056</v>
      </c>
      <c r="E17" s="22" t="n">
        <v>0.016364</v>
      </c>
    </row>
    <row r="18" customFormat="false" ht="15" hidden="false" customHeight="false" outlineLevel="0" collapsed="false">
      <c r="A18" s="22" t="n">
        <v>16</v>
      </c>
      <c r="B18" s="22" t="n">
        <v>0.003044</v>
      </c>
      <c r="C18" s="22" t="n">
        <v>0.014313</v>
      </c>
      <c r="D18" s="22" t="n">
        <v>0.025581</v>
      </c>
      <c r="E18" s="22" t="n">
        <v>0.013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2026-07-04T13:51:50Z</dcterms:created>
  <dc:creator>openpyxl</dc:creator>
  <dc:description/>
  <dc:language>en-US</dc:language>
  <cp:lastModifiedBy/>
  <dcterms:modified xsi:type="dcterms:W3CDTF">2026-07-04T13:51:57Z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